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B0BAA719-A8EE-4A6F-AD23-3DC7D227FCE5}" xr6:coauthVersionLast="47" xr6:coauthVersionMax="47" xr10:uidLastSave="{00000000-0000-0000-0000-000000000000}"/>
  <bookViews>
    <workbookView xWindow="0" yWindow="0" windowWidth="0" windowHeight="0" firstSheet="2" activeTab="1" xr2:uid="{00000000-000D-0000-FFFF-FFFF00000000}"/>
  </bookViews>
  <sheets>
    <sheet name="Raw data" sheetId="1" r:id="rId1"/>
    <sheet name="Pivot tables" sheetId="4" r:id="rId2"/>
    <sheet name="Dash board" sheetId="5" r:id="rId3"/>
  </sheets>
  <externalReferences>
    <externalReference r:id="rId4"/>
  </externalReferences>
  <calcPr calcId="191028"/>
  <pivotCaches>
    <pivotCache cacheId="9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5" l="1"/>
  <c r="F47" i="5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<sst xmlns="http://schemas.openxmlformats.org/spreadsheetml/2006/main" count="443" uniqueCount="119">
  <si>
    <t>Order_Date</t>
  </si>
  <si>
    <t>Months</t>
  </si>
  <si>
    <t>Product</t>
  </si>
  <si>
    <t>Category</t>
  </si>
  <si>
    <t>Quantity</t>
  </si>
  <si>
    <t>Sales</t>
  </si>
  <si>
    <t>Region</t>
  </si>
  <si>
    <t>2024-03-01</t>
  </si>
  <si>
    <t>Rice</t>
  </si>
  <si>
    <t>Grocery</t>
  </si>
  <si>
    <t>North</t>
  </si>
  <si>
    <t>2024-03-06</t>
  </si>
  <si>
    <t>South</t>
  </si>
  <si>
    <t>2024-06-17</t>
  </si>
  <si>
    <t>Shoes</t>
  </si>
  <si>
    <t>Footwear</t>
  </si>
  <si>
    <t>West</t>
  </si>
  <si>
    <t>2024-05-21</t>
  </si>
  <si>
    <t>Chair</t>
  </si>
  <si>
    <t>Furniture</t>
  </si>
  <si>
    <t>East</t>
  </si>
  <si>
    <t>2024-06-25</t>
  </si>
  <si>
    <t>2024-05-10</t>
  </si>
  <si>
    <t>Mobile Phone</t>
  </si>
  <si>
    <t>Electronics</t>
  </si>
  <si>
    <t>2024-01-30</t>
  </si>
  <si>
    <t>2024-02-27</t>
  </si>
  <si>
    <t>Chocolate</t>
  </si>
  <si>
    <t>2024-05-27</t>
  </si>
  <si>
    <t>2024-06-29</t>
  </si>
  <si>
    <t>2024-06-03</t>
  </si>
  <si>
    <t>2024-05-20</t>
  </si>
  <si>
    <t>Headphones</t>
  </si>
  <si>
    <t>2024-05-17</t>
  </si>
  <si>
    <t>Laptop</t>
  </si>
  <si>
    <t>2024-06-14</t>
  </si>
  <si>
    <t>Jeans</t>
  </si>
  <si>
    <t>Clothing</t>
  </si>
  <si>
    <t>2024-05-31</t>
  </si>
  <si>
    <t>2024-04-25</t>
  </si>
  <si>
    <t>2024-02-13</t>
  </si>
  <si>
    <t>2024-05-16</t>
  </si>
  <si>
    <t>2024-03-08</t>
  </si>
  <si>
    <t>2024-02-29</t>
  </si>
  <si>
    <t>2024-04-16</t>
  </si>
  <si>
    <t>2024-06-10</t>
  </si>
  <si>
    <t>2024-01-06</t>
  </si>
  <si>
    <t>2024-04-04</t>
  </si>
  <si>
    <t>2024-04-07</t>
  </si>
  <si>
    <t>T-Shirt</t>
  </si>
  <si>
    <t>2024-03-03</t>
  </si>
  <si>
    <t>2024-01-21</t>
  </si>
  <si>
    <t>Oil</t>
  </si>
  <si>
    <t>2024-05-30</t>
  </si>
  <si>
    <t>2024-02-08</t>
  </si>
  <si>
    <t>2024-01-28</t>
  </si>
  <si>
    <t>2024-03-07</t>
  </si>
  <si>
    <t>2024-01-23</t>
  </si>
  <si>
    <t>2024-06-18</t>
  </si>
  <si>
    <t>2024-05-25</t>
  </si>
  <si>
    <t>2024-02-11</t>
  </si>
  <si>
    <t>2024-03-28</t>
  </si>
  <si>
    <t>2024-01-04</t>
  </si>
  <si>
    <t>2024-01-18</t>
  </si>
  <si>
    <t>2024-04-06</t>
  </si>
  <si>
    <t>2024-01-27</t>
  </si>
  <si>
    <t>2024-04-09</t>
  </si>
  <si>
    <t>2024-01-08</t>
  </si>
  <si>
    <t>2024-06-23</t>
  </si>
  <si>
    <t>2024-04-02</t>
  </si>
  <si>
    <t>2024-04-23</t>
  </si>
  <si>
    <t>2024-06-16</t>
  </si>
  <si>
    <t>2024-02-02</t>
  </si>
  <si>
    <t>2024-01-17</t>
  </si>
  <si>
    <t>2024-05-24</t>
  </si>
  <si>
    <t>2024-04-18</t>
  </si>
  <si>
    <t>2024-03-14</t>
  </si>
  <si>
    <t>2024-01-13</t>
  </si>
  <si>
    <t>2024-05-18</t>
  </si>
  <si>
    <t>2024-03-09</t>
  </si>
  <si>
    <t>2024-02-06</t>
  </si>
  <si>
    <t>2024-02-26</t>
  </si>
  <si>
    <t>2024-04-22</t>
  </si>
  <si>
    <t>2024-01-07</t>
  </si>
  <si>
    <t>2024-04-15</t>
  </si>
  <si>
    <t>2024-06-24</t>
  </si>
  <si>
    <t>2024-01-19</t>
  </si>
  <si>
    <t>2024-05-02</t>
  </si>
  <si>
    <t>2024-04-19</t>
  </si>
  <si>
    <t>2024-05-08</t>
  </si>
  <si>
    <t>2024-03-31</t>
  </si>
  <si>
    <t>2024-01-11</t>
  </si>
  <si>
    <t>2024-02-16</t>
  </si>
  <si>
    <t>2024-06-26</t>
  </si>
  <si>
    <t>2024-04-17</t>
  </si>
  <si>
    <t>2024-06-06</t>
  </si>
  <si>
    <t>2024-04-11</t>
  </si>
  <si>
    <t>2024-05-01</t>
  </si>
  <si>
    <t>2024-05-13</t>
  </si>
  <si>
    <t>2024-04-20</t>
  </si>
  <si>
    <t>2024-04-10</t>
  </si>
  <si>
    <t>2024-03-20</t>
  </si>
  <si>
    <t>2024-01-15</t>
  </si>
  <si>
    <t>2024-03-21</t>
  </si>
  <si>
    <t>2024-05-07</t>
  </si>
  <si>
    <t>2024-02-23</t>
  </si>
  <si>
    <t>2024-04-05</t>
  </si>
  <si>
    <t>2024-04-29</t>
  </si>
  <si>
    <t>2024-03-11</t>
  </si>
  <si>
    <t>Sum of Sales</t>
  </si>
  <si>
    <t>Total Sales</t>
  </si>
  <si>
    <t>Grand Total</t>
  </si>
  <si>
    <t>Total Quantity</t>
  </si>
  <si>
    <t>Apr-2024</t>
  </si>
  <si>
    <t>Feb-2024</t>
  </si>
  <si>
    <t>Jan-2024</t>
  </si>
  <si>
    <t>Jun-2024</t>
  </si>
  <si>
    <t>Mar-2024</t>
  </si>
  <si>
    <t>May-2024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</si>
</sst>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4">
    <font>
      <sz val="11"/>
      <color theme="1"/>
      <name val="Calibri"/>
      <family val="2"/>
      <scheme val="minor"/>
    </font>
    <font>
      <b/>
      <sz val="28"/>
      <color theme="6" tint="-0.499984740745262"/>
      <name val="Book Antiqua"/>
    </font>
    <font>
      <b/>
      <sz val="36"/>
      <color theme="1"/>
      <name val="Calibri"/>
      <family val="2"/>
      <scheme val="minor"/>
    </font>
    <font>
      <b/>
      <sz val="36"/>
      <color theme="1"/>
      <name val="Cambria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3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Sales by Category</a:t>
            </a:r>
          </a:p>
        </c:rich>
      </c:tx>
      <c:overlay val="0"/>
      <c:spPr>
        <a:solidFill>
          <a:srgbClr val="C5D9F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Clothing</c:v>
              </c:pt>
              <c:pt idx="1">
                <c:v>Electronics</c:v>
              </c:pt>
              <c:pt idx="2">
                <c:v>Footwear</c:v>
              </c:pt>
              <c:pt idx="3">
                <c:v>Furniture</c:v>
              </c:pt>
              <c:pt idx="4">
                <c:v>Grocery</c:v>
              </c:pt>
            </c:strLit>
          </c:cat>
          <c:val>
            <c:numLit>
              <c:formatCode>General</c:formatCode>
              <c:ptCount val="5"/>
              <c:pt idx="0">
                <c:v>299566</c:v>
              </c:pt>
              <c:pt idx="1">
                <c:v>475017</c:v>
              </c:pt>
              <c:pt idx="2">
                <c:v>242217</c:v>
              </c:pt>
              <c:pt idx="3">
                <c:v>190621</c:v>
              </c:pt>
              <c:pt idx="4">
                <c:v>221963</c:v>
              </c:pt>
            </c:numLit>
          </c:val>
          <c:extLst>
            <c:ext xmlns:c16="http://schemas.microsoft.com/office/drawing/2014/chart" uri="{C3380CC4-5D6E-409C-BE32-E72D297353CC}">
              <c16:uniqueId val="{00000000-1C32-47D1-9772-B10F98CC2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315655"/>
        <c:axId val="1100334599"/>
      </c:barChart>
      <c:catAx>
        <c:axId val="1100315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ndara"/>
                    <a:ea typeface="Candara"/>
                    <a:cs typeface="Candara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solidFill>
              <a:srgbClr val="C5D9F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ndara"/>
                  <a:ea typeface="Candara"/>
                  <a:cs typeface="Candara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34599"/>
        <c:crosses val="autoZero"/>
        <c:auto val="1"/>
        <c:lblAlgn val="ctr"/>
        <c:lblOffset val="100"/>
        <c:noMultiLvlLbl val="0"/>
      </c:catAx>
      <c:valAx>
        <c:axId val="11003345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ndara"/>
                    <a:ea typeface="Candara"/>
                    <a:cs typeface="Candara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solidFill>
              <a:srgbClr val="C5D9F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ndara"/>
                  <a:ea typeface="Candara"/>
                  <a:cs typeface="Candara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1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Sales by Region</a:t>
            </a:r>
          </a:p>
        </c:rich>
      </c:tx>
      <c:overlay val="0"/>
      <c:spPr>
        <a:solidFill>
          <a:srgbClr val="C5D9F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264191</c:v>
              </c:pt>
              <c:pt idx="1">
                <c:v>486648</c:v>
              </c:pt>
              <c:pt idx="2">
                <c:v>249878</c:v>
              </c:pt>
              <c:pt idx="3">
                <c:v>428667</c:v>
              </c:pt>
            </c:numLit>
          </c:val>
          <c:extLst>
            <c:ext xmlns:c16="http://schemas.microsoft.com/office/drawing/2014/chart" uri="{C3380CC4-5D6E-409C-BE32-E72D297353CC}">
              <c16:uniqueId val="{00000000-44BD-423C-8B6E-452872E56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9837447"/>
        <c:axId val="1739839495"/>
      </c:barChart>
      <c:catAx>
        <c:axId val="1739837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ndara"/>
                    <a:ea typeface="Candara"/>
                    <a:cs typeface="Candara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solidFill>
              <a:srgbClr val="C5D9F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ndara"/>
                  <a:ea typeface="Candara"/>
                  <a:cs typeface="Candara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839495"/>
        <c:crosses val="autoZero"/>
        <c:auto val="1"/>
        <c:lblAlgn val="ctr"/>
        <c:lblOffset val="100"/>
        <c:noMultiLvlLbl val="0"/>
      </c:catAx>
      <c:valAx>
        <c:axId val="1739839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ndara"/>
                    <a:ea typeface="Candara"/>
                    <a:cs typeface="Candara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solidFill>
              <a:srgbClr val="C5D9F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ndara"/>
                  <a:ea typeface="Candara"/>
                  <a:cs typeface="Candara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837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Monthly Sales Trend</a:t>
            </a:r>
          </a:p>
        </c:rich>
      </c:tx>
      <c:overlay val="0"/>
      <c:spPr>
        <a:solidFill>
          <a:srgbClr val="C5D9F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6"/>
              <c:pt idx="0">
                <c:v>Apr-2024</c:v>
              </c:pt>
              <c:pt idx="1">
                <c:v>Feb-2024</c:v>
              </c:pt>
              <c:pt idx="2">
                <c:v>Jan-2024</c:v>
              </c:pt>
              <c:pt idx="3">
                <c:v>Jun-2024</c:v>
              </c:pt>
              <c:pt idx="4">
                <c:v>Mar-2024</c:v>
              </c:pt>
              <c:pt idx="5">
                <c:v>May-2024</c:v>
              </c:pt>
            </c:strLit>
          </c:cat>
          <c:val>
            <c:numLit>
              <c:formatCode>General</c:formatCode>
              <c:ptCount val="6"/>
              <c:pt idx="0">
                <c:v>353425</c:v>
              </c:pt>
              <c:pt idx="1">
                <c:v>202407</c:v>
              </c:pt>
              <c:pt idx="2">
                <c:v>298101</c:v>
              </c:pt>
              <c:pt idx="3">
                <c:v>246166</c:v>
              </c:pt>
              <c:pt idx="4">
                <c:v>171986</c:v>
              </c:pt>
              <c:pt idx="5">
                <c:v>157299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E6-45CB-8EC1-5863EA9CE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445639"/>
        <c:axId val="1253447687"/>
      </c:lineChart>
      <c:catAx>
        <c:axId val="1253445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ndara"/>
                    <a:ea typeface="Candara"/>
                    <a:cs typeface="Candara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solidFill>
              <a:srgbClr val="C5D9F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ndara"/>
                  <a:ea typeface="Candara"/>
                  <a:cs typeface="Candara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447687"/>
        <c:crosses val="autoZero"/>
        <c:auto val="1"/>
        <c:lblAlgn val="ctr"/>
        <c:lblOffset val="100"/>
        <c:noMultiLvlLbl val="0"/>
      </c:catAx>
      <c:valAx>
        <c:axId val="12534476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ndara"/>
                    <a:ea typeface="Candara"/>
                    <a:cs typeface="Candara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solidFill>
              <a:srgbClr val="C5D9F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ndara"/>
                  <a:ea typeface="Candara"/>
                  <a:cs typeface="Candara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445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Top 5 Products</a:t>
            </a:r>
          </a:p>
        </c:rich>
      </c:tx>
      <c:overlay val="0"/>
      <c:spPr>
        <a:solidFill>
          <a:srgbClr val="C5D9F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Chair</c:v>
              </c:pt>
              <c:pt idx="1">
                <c:v>Jeans</c:v>
              </c:pt>
              <c:pt idx="2">
                <c:v>Laptop</c:v>
              </c:pt>
              <c:pt idx="3">
                <c:v>Mobile Phone</c:v>
              </c:pt>
              <c:pt idx="4">
                <c:v>Shoes</c:v>
              </c:pt>
            </c:strLit>
          </c:cat>
          <c:val>
            <c:numLit>
              <c:formatCode>General</c:formatCode>
              <c:ptCount val="5"/>
              <c:pt idx="0">
                <c:v>190621</c:v>
              </c:pt>
              <c:pt idx="1">
                <c:v>189639</c:v>
              </c:pt>
              <c:pt idx="2">
                <c:v>228524</c:v>
              </c:pt>
              <c:pt idx="3">
                <c:v>165227</c:v>
              </c:pt>
              <c:pt idx="4">
                <c:v>242217</c:v>
              </c:pt>
            </c:numLit>
          </c:val>
          <c:extLst>
            <c:ext xmlns:c16="http://schemas.microsoft.com/office/drawing/2014/chart" uri="{C3380CC4-5D6E-409C-BE32-E72D297353CC}">
              <c16:uniqueId val="{00000000-AACC-4943-9827-89ACB2021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653127"/>
        <c:axId val="2129127944"/>
      </c:barChart>
      <c:catAx>
        <c:axId val="1643653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ndara"/>
                    <a:ea typeface="Candara"/>
                    <a:cs typeface="Candara"/>
                  </a:defRPr>
                </a:pPr>
                <a:r>
                  <a:rPr lang="en-US"/>
                  <a:t>Top Products</a:t>
                </a:r>
              </a:p>
            </c:rich>
          </c:tx>
          <c:overlay val="0"/>
          <c:spPr>
            <a:solidFill>
              <a:srgbClr val="C5D9F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ndara"/>
                  <a:ea typeface="Candara"/>
                  <a:cs typeface="Candara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127944"/>
        <c:crosses val="autoZero"/>
        <c:auto val="1"/>
        <c:lblAlgn val="ctr"/>
        <c:lblOffset val="100"/>
        <c:noMultiLvlLbl val="0"/>
      </c:catAx>
      <c:valAx>
        <c:axId val="2129127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ndara"/>
                    <a:ea typeface="Candara"/>
                    <a:cs typeface="Candara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solidFill>
              <a:srgbClr val="C5D9F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ndara"/>
                  <a:ea typeface="Candara"/>
                  <a:cs typeface="Candara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653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1</xdr:row>
      <xdr:rowOff>0</xdr:rowOff>
    </xdr:from>
    <xdr:to>
      <xdr:col>9</xdr:col>
      <xdr:colOff>190500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4F0CA6-DC1C-6D09-5D16-1615019C7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3</xdr:row>
      <xdr:rowOff>95250</xdr:rowOff>
    </xdr:from>
    <xdr:to>
      <xdr:col>20</xdr:col>
      <xdr:colOff>76200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B6CDBA-6BBE-6E91-7DE1-AA502FBB3B9E}"/>
            </a:ext>
            <a:ext uri="{147F2762-F138-4A5C-976F-8EAC2B608ADB}">
              <a16:predDERef xmlns:a16="http://schemas.microsoft.com/office/drawing/2014/main" pred="{024F0CA6-DC1C-6D09-5D16-1615019C7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104775</xdr:colOff>
      <xdr:row>22</xdr:row>
      <xdr:rowOff>47625</xdr:rowOff>
    </xdr:from>
    <xdr:to>
      <xdr:col>9</xdr:col>
      <xdr:colOff>409575</xdr:colOff>
      <xdr:row>36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30C042-A078-6398-C257-450964B37D33}"/>
            </a:ext>
            <a:ext uri="{147F2762-F138-4A5C-976F-8EAC2B608ADB}">
              <a16:predDERef xmlns:a16="http://schemas.microsoft.com/office/drawing/2014/main" pred="{CBB6CDBA-6BBE-6E91-7DE1-AA502FBB3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266700</xdr:colOff>
      <xdr:row>21</xdr:row>
      <xdr:rowOff>114300</xdr:rowOff>
    </xdr:from>
    <xdr:to>
      <xdr:col>19</xdr:col>
      <xdr:colOff>571500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4DBF6B-E07A-CD8F-AAFC-9691EE467C5C}"/>
            </a:ext>
            <a:ext uri="{147F2762-F138-4A5C-976F-8EAC2B608ADB}">
              <a16:predDERef xmlns:a16="http://schemas.microsoft.com/office/drawing/2014/main" pred="{B630C042-A078-6398-C257-450964B37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390525</xdr:colOff>
      <xdr:row>22</xdr:row>
      <xdr:rowOff>66675</xdr:rowOff>
    </xdr:from>
    <xdr:to>
      <xdr:col>38</xdr:col>
      <xdr:colOff>352425</xdr:colOff>
      <xdr:row>27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8FF5A9F-D092-86F8-3497-07CE7FE74F97}"/>
            </a:ext>
            <a:ext uri="{147F2762-F138-4A5C-976F-8EAC2B608ADB}">
              <a16:predDERef xmlns:a16="http://schemas.microsoft.com/office/drawing/2014/main" pred="{C04DBF6B-E07A-CD8F-AAFC-9691EE467C5C}"/>
            </a:ext>
          </a:extLst>
        </xdr:cNvPr>
        <xdr:cNvSpPr/>
      </xdr:nvSpPr>
      <xdr:spPr>
        <a:xfrm>
          <a:off x="20507325" y="4257675"/>
          <a:ext cx="3009900" cy="9525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20000"/>
              <a:lumOff val="80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600" b="0" u="none" strike="noStrike">
              <a:solidFill>
                <a:schemeClr val="accent3">
                  <a:lumMod val="50000"/>
                </a:schemeClr>
              </a:solidFill>
              <a:latin typeface="Book Antiqua" panose="02040602050305030304" pitchFamily="18" charset="0"/>
            </a:rPr>
            <a:t>Total Sales</a:t>
          </a:r>
          <a:endParaRPr lang="en-US" sz="2600" b="0" i="0" u="none" strike="noStrike">
            <a:solidFill>
              <a:schemeClr val="accent3">
                <a:lumMod val="50000"/>
              </a:schemeClr>
            </a:solidFill>
            <a:latin typeface="Book Antiqua" panose="02040602050305030304" pitchFamily="18" charset="0"/>
          </a:endParaRPr>
        </a:p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shboar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9.644676504628" createdVersion="8" refreshedVersion="8" minRefreshableVersion="3" recordCount="100" xr:uid="{194C1191-7590-4AB9-A1F8-9E7C14971FFD}">
  <cacheSource type="worksheet">
    <worksheetSource name="Table1"/>
  </cacheSource>
  <cacheFields count="7">
    <cacheField name="Order_Date" numFmtId="0">
      <sharedItems/>
    </cacheField>
    <cacheField name="Months" numFmtId="0">
      <sharedItems count="6">
        <s v="Mar-2024"/>
        <s v="Jun-2024"/>
        <s v="May-2024"/>
        <s v="Jan-2024"/>
        <s v="Feb-2024"/>
        <s v="Apr-2024"/>
      </sharedItems>
    </cacheField>
    <cacheField name="Product" numFmtId="0">
      <sharedItems count="10">
        <s v="Rice"/>
        <s v="Shoes"/>
        <s v="Chair"/>
        <s v="Mobile Phone"/>
        <s v="Chocolate"/>
        <s v="Headphones"/>
        <s v="Laptop"/>
        <s v="Jeans"/>
        <s v="T-Shirt"/>
        <s v="Oil"/>
      </sharedItems>
    </cacheField>
    <cacheField name="Category" numFmtId="0">
      <sharedItems count="5">
        <s v="Grocery"/>
        <s v="Footwear"/>
        <s v="Furniture"/>
        <s v="Electronics"/>
        <s v="Clothing"/>
      </sharedItems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containsInteger="1" minValue="657" maxValue="44622"/>
    </cacheField>
    <cacheField name="Region" numFmtId="0">
      <sharedItems count="4">
        <s v="North"/>
        <s v="South"/>
        <s v="West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2024-03-01"/>
    <x v="0"/>
    <x v="0"/>
    <x v="0"/>
    <n v="4"/>
    <n v="10212"/>
    <x v="0"/>
  </r>
  <r>
    <s v="2024-03-06"/>
    <x v="0"/>
    <x v="0"/>
    <x v="0"/>
    <n v="3"/>
    <n v="2760"/>
    <x v="1"/>
  </r>
  <r>
    <s v="2024-06-17"/>
    <x v="1"/>
    <x v="1"/>
    <x v="1"/>
    <n v="4"/>
    <n v="2168"/>
    <x v="2"/>
  </r>
  <r>
    <s v="2024-05-21"/>
    <x v="2"/>
    <x v="2"/>
    <x v="2"/>
    <n v="2"/>
    <n v="5470"/>
    <x v="3"/>
  </r>
  <r>
    <s v="2024-06-25"/>
    <x v="1"/>
    <x v="1"/>
    <x v="1"/>
    <n v="7"/>
    <n v="29596"/>
    <x v="2"/>
  </r>
  <r>
    <s v="2024-05-10"/>
    <x v="2"/>
    <x v="3"/>
    <x v="3"/>
    <n v="3"/>
    <n v="5103"/>
    <x v="2"/>
  </r>
  <r>
    <s v="2024-01-30"/>
    <x v="3"/>
    <x v="3"/>
    <x v="3"/>
    <n v="7"/>
    <n v="29183"/>
    <x v="0"/>
  </r>
  <r>
    <s v="2024-02-27"/>
    <x v="4"/>
    <x v="4"/>
    <x v="0"/>
    <n v="7"/>
    <n v="34951"/>
    <x v="2"/>
  </r>
  <r>
    <s v="2024-05-27"/>
    <x v="2"/>
    <x v="1"/>
    <x v="1"/>
    <n v="1"/>
    <n v="969"/>
    <x v="0"/>
  </r>
  <r>
    <s v="2024-06-29"/>
    <x v="1"/>
    <x v="4"/>
    <x v="0"/>
    <n v="7"/>
    <n v="19537"/>
    <x v="1"/>
  </r>
  <r>
    <s v="2024-06-03"/>
    <x v="1"/>
    <x v="3"/>
    <x v="3"/>
    <n v="3"/>
    <n v="14682"/>
    <x v="3"/>
  </r>
  <r>
    <s v="2024-05-20"/>
    <x v="2"/>
    <x v="5"/>
    <x v="3"/>
    <n v="6"/>
    <n v="12372"/>
    <x v="2"/>
  </r>
  <r>
    <s v="2024-05-17"/>
    <x v="2"/>
    <x v="6"/>
    <x v="3"/>
    <n v="6"/>
    <n v="19572"/>
    <x v="0"/>
  </r>
  <r>
    <s v="2024-06-14"/>
    <x v="1"/>
    <x v="7"/>
    <x v="4"/>
    <n v="6"/>
    <n v="12012"/>
    <x v="3"/>
  </r>
  <r>
    <s v="2024-05-31"/>
    <x v="2"/>
    <x v="0"/>
    <x v="0"/>
    <n v="7"/>
    <n v="5642"/>
    <x v="2"/>
  </r>
  <r>
    <s v="2024-04-25"/>
    <x v="5"/>
    <x v="2"/>
    <x v="2"/>
    <n v="3"/>
    <n v="7482"/>
    <x v="1"/>
  </r>
  <r>
    <s v="2024-02-13"/>
    <x v="4"/>
    <x v="6"/>
    <x v="3"/>
    <n v="3"/>
    <n v="10137"/>
    <x v="2"/>
  </r>
  <r>
    <s v="2024-05-16"/>
    <x v="2"/>
    <x v="6"/>
    <x v="3"/>
    <n v="4"/>
    <n v="10868"/>
    <x v="3"/>
  </r>
  <r>
    <s v="2024-03-08"/>
    <x v="0"/>
    <x v="3"/>
    <x v="3"/>
    <n v="7"/>
    <n v="6678"/>
    <x v="1"/>
  </r>
  <r>
    <s v="2024-02-29"/>
    <x v="4"/>
    <x v="1"/>
    <x v="1"/>
    <n v="1"/>
    <n v="657"/>
    <x v="1"/>
  </r>
  <r>
    <s v="2024-04-16"/>
    <x v="5"/>
    <x v="3"/>
    <x v="3"/>
    <n v="2"/>
    <n v="9908"/>
    <x v="1"/>
  </r>
  <r>
    <s v="2024-06-10"/>
    <x v="1"/>
    <x v="7"/>
    <x v="4"/>
    <n v="9"/>
    <n v="24525"/>
    <x v="2"/>
  </r>
  <r>
    <s v="2024-01-06"/>
    <x v="3"/>
    <x v="1"/>
    <x v="1"/>
    <n v="4"/>
    <n v="18820"/>
    <x v="0"/>
  </r>
  <r>
    <s v="2024-04-04"/>
    <x v="5"/>
    <x v="1"/>
    <x v="1"/>
    <n v="3"/>
    <n v="13302"/>
    <x v="1"/>
  </r>
  <r>
    <s v="2024-04-07"/>
    <x v="5"/>
    <x v="8"/>
    <x v="4"/>
    <n v="4"/>
    <n v="14784"/>
    <x v="0"/>
  </r>
  <r>
    <s v="2024-03-03"/>
    <x v="0"/>
    <x v="2"/>
    <x v="2"/>
    <n v="8"/>
    <n v="4816"/>
    <x v="2"/>
  </r>
  <r>
    <s v="2024-01-21"/>
    <x v="3"/>
    <x v="9"/>
    <x v="0"/>
    <n v="3"/>
    <n v="12549"/>
    <x v="1"/>
  </r>
  <r>
    <s v="2024-01-30"/>
    <x v="3"/>
    <x v="6"/>
    <x v="3"/>
    <n v="3"/>
    <n v="2850"/>
    <x v="1"/>
  </r>
  <r>
    <s v="2024-05-30"/>
    <x v="2"/>
    <x v="2"/>
    <x v="2"/>
    <n v="3"/>
    <n v="6246"/>
    <x v="3"/>
  </r>
  <r>
    <s v="2024-02-08"/>
    <x v="4"/>
    <x v="6"/>
    <x v="3"/>
    <n v="5"/>
    <n v="7045"/>
    <x v="3"/>
  </r>
  <r>
    <s v="2024-01-28"/>
    <x v="3"/>
    <x v="1"/>
    <x v="1"/>
    <n v="4"/>
    <n v="16312"/>
    <x v="0"/>
  </r>
  <r>
    <s v="2024-04-04"/>
    <x v="5"/>
    <x v="3"/>
    <x v="3"/>
    <n v="8"/>
    <n v="23664"/>
    <x v="2"/>
  </r>
  <r>
    <s v="2024-03-07"/>
    <x v="0"/>
    <x v="7"/>
    <x v="4"/>
    <n v="10"/>
    <n v="14280"/>
    <x v="0"/>
  </r>
  <r>
    <s v="2024-01-23"/>
    <x v="3"/>
    <x v="7"/>
    <x v="4"/>
    <n v="5"/>
    <n v="10785"/>
    <x v="2"/>
  </r>
  <r>
    <s v="2024-06-18"/>
    <x v="1"/>
    <x v="9"/>
    <x v="0"/>
    <n v="4"/>
    <n v="3408"/>
    <x v="2"/>
  </r>
  <r>
    <s v="2024-02-29"/>
    <x v="4"/>
    <x v="1"/>
    <x v="1"/>
    <n v="4"/>
    <n v="19804"/>
    <x v="0"/>
  </r>
  <r>
    <s v="2024-05-25"/>
    <x v="2"/>
    <x v="5"/>
    <x v="3"/>
    <n v="1"/>
    <n v="2959"/>
    <x v="1"/>
  </r>
  <r>
    <s v="2024-02-11"/>
    <x v="4"/>
    <x v="7"/>
    <x v="4"/>
    <n v="5"/>
    <n v="12585"/>
    <x v="0"/>
  </r>
  <r>
    <s v="2024-03-28"/>
    <x v="0"/>
    <x v="4"/>
    <x v="0"/>
    <n v="2"/>
    <n v="3570"/>
    <x v="3"/>
  </r>
  <r>
    <s v="2024-01-04"/>
    <x v="3"/>
    <x v="1"/>
    <x v="1"/>
    <n v="2"/>
    <n v="9370"/>
    <x v="3"/>
  </r>
  <r>
    <s v="2024-01-18"/>
    <x v="3"/>
    <x v="8"/>
    <x v="4"/>
    <n v="1"/>
    <n v="4807"/>
    <x v="3"/>
  </r>
  <r>
    <s v="2024-04-06"/>
    <x v="5"/>
    <x v="6"/>
    <x v="3"/>
    <n v="8"/>
    <n v="24792"/>
    <x v="3"/>
  </r>
  <r>
    <s v="2024-01-27"/>
    <x v="3"/>
    <x v="1"/>
    <x v="1"/>
    <n v="3"/>
    <n v="12105"/>
    <x v="0"/>
  </r>
  <r>
    <s v="2024-04-09"/>
    <x v="5"/>
    <x v="2"/>
    <x v="2"/>
    <n v="7"/>
    <n v="29505"/>
    <x v="0"/>
  </r>
  <r>
    <s v="2024-01-08"/>
    <x v="3"/>
    <x v="7"/>
    <x v="4"/>
    <n v="2"/>
    <n v="7400"/>
    <x v="0"/>
  </r>
  <r>
    <s v="2024-06-23"/>
    <x v="1"/>
    <x v="7"/>
    <x v="4"/>
    <n v="5"/>
    <n v="11770"/>
    <x v="1"/>
  </r>
  <r>
    <s v="2024-04-02"/>
    <x v="5"/>
    <x v="6"/>
    <x v="3"/>
    <n v="4"/>
    <n v="3448"/>
    <x v="0"/>
  </r>
  <r>
    <s v="2024-04-23"/>
    <x v="5"/>
    <x v="8"/>
    <x v="4"/>
    <n v="8"/>
    <n v="4448"/>
    <x v="0"/>
  </r>
  <r>
    <s v="2024-06-16"/>
    <x v="1"/>
    <x v="6"/>
    <x v="3"/>
    <n v="8"/>
    <n v="22472"/>
    <x v="1"/>
  </r>
  <r>
    <s v="2024-02-02"/>
    <x v="4"/>
    <x v="6"/>
    <x v="3"/>
    <n v="10"/>
    <n v="7590"/>
    <x v="3"/>
  </r>
  <r>
    <s v="2024-01-17"/>
    <x v="3"/>
    <x v="1"/>
    <x v="1"/>
    <n v="9"/>
    <n v="37665"/>
    <x v="0"/>
  </r>
  <r>
    <s v="2024-05-24"/>
    <x v="2"/>
    <x v="9"/>
    <x v="0"/>
    <n v="4"/>
    <n v="5816"/>
    <x v="2"/>
  </r>
  <r>
    <s v="2024-04-02"/>
    <x v="5"/>
    <x v="9"/>
    <x v="0"/>
    <n v="2"/>
    <n v="7486"/>
    <x v="0"/>
  </r>
  <r>
    <s v="2024-04-18"/>
    <x v="5"/>
    <x v="1"/>
    <x v="1"/>
    <n v="4"/>
    <n v="8604"/>
    <x v="1"/>
  </r>
  <r>
    <s v="2024-03-14"/>
    <x v="0"/>
    <x v="1"/>
    <x v="1"/>
    <n v="2"/>
    <n v="1810"/>
    <x v="3"/>
  </r>
  <r>
    <s v="2024-01-13"/>
    <x v="3"/>
    <x v="9"/>
    <x v="0"/>
    <n v="4"/>
    <n v="6556"/>
    <x v="1"/>
  </r>
  <r>
    <s v="2024-05-18"/>
    <x v="2"/>
    <x v="5"/>
    <x v="3"/>
    <n v="3"/>
    <n v="12819"/>
    <x v="0"/>
  </r>
  <r>
    <s v="2024-03-09"/>
    <x v="0"/>
    <x v="7"/>
    <x v="4"/>
    <n v="2"/>
    <n v="7548"/>
    <x v="0"/>
  </r>
  <r>
    <s v="2024-02-06"/>
    <x v="4"/>
    <x v="1"/>
    <x v="1"/>
    <n v="5"/>
    <n v="23375"/>
    <x v="2"/>
  </r>
  <r>
    <s v="2024-05-24"/>
    <x v="2"/>
    <x v="6"/>
    <x v="3"/>
    <n v="3"/>
    <n v="10140"/>
    <x v="0"/>
  </r>
  <r>
    <s v="2024-02-26"/>
    <x v="4"/>
    <x v="6"/>
    <x v="3"/>
    <n v="8"/>
    <n v="36648"/>
    <x v="3"/>
  </r>
  <r>
    <s v="2024-04-22"/>
    <x v="5"/>
    <x v="2"/>
    <x v="2"/>
    <n v="4"/>
    <n v="13120"/>
    <x v="3"/>
  </r>
  <r>
    <s v="2024-01-07"/>
    <x v="3"/>
    <x v="9"/>
    <x v="0"/>
    <n v="5"/>
    <n v="17110"/>
    <x v="1"/>
  </r>
  <r>
    <s v="2024-04-15"/>
    <x v="5"/>
    <x v="8"/>
    <x v="4"/>
    <n v="10"/>
    <n v="41560"/>
    <x v="2"/>
  </r>
  <r>
    <s v="2024-06-24"/>
    <x v="1"/>
    <x v="2"/>
    <x v="2"/>
    <n v="6"/>
    <n v="27114"/>
    <x v="0"/>
  </r>
  <r>
    <s v="2024-06-25"/>
    <x v="1"/>
    <x v="9"/>
    <x v="0"/>
    <n v="3"/>
    <n v="7452"/>
    <x v="0"/>
  </r>
  <r>
    <s v="2024-04-23"/>
    <x v="5"/>
    <x v="6"/>
    <x v="3"/>
    <n v="3"/>
    <n v="7647"/>
    <x v="0"/>
  </r>
  <r>
    <s v="2024-01-19"/>
    <x v="3"/>
    <x v="8"/>
    <x v="4"/>
    <n v="1"/>
    <n v="2888"/>
    <x v="2"/>
  </r>
  <r>
    <s v="2024-06-24"/>
    <x v="1"/>
    <x v="8"/>
    <x v="4"/>
    <n v="7"/>
    <n v="26110"/>
    <x v="2"/>
  </r>
  <r>
    <s v="2024-05-02"/>
    <x v="2"/>
    <x v="1"/>
    <x v="1"/>
    <n v="1"/>
    <n v="922"/>
    <x v="3"/>
  </r>
  <r>
    <s v="2024-04-19"/>
    <x v="5"/>
    <x v="2"/>
    <x v="2"/>
    <n v="4"/>
    <n v="19096"/>
    <x v="3"/>
  </r>
  <r>
    <s v="2024-05-08"/>
    <x v="2"/>
    <x v="5"/>
    <x v="3"/>
    <n v="1"/>
    <n v="4896"/>
    <x v="3"/>
  </r>
  <r>
    <s v="2024-03-31"/>
    <x v="0"/>
    <x v="9"/>
    <x v="0"/>
    <n v="6"/>
    <n v="26514"/>
    <x v="1"/>
  </r>
  <r>
    <s v="2024-01-11"/>
    <x v="3"/>
    <x v="4"/>
    <x v="0"/>
    <n v="2"/>
    <n v="4634"/>
    <x v="0"/>
  </r>
  <r>
    <s v="2024-02-16"/>
    <x v="4"/>
    <x v="7"/>
    <x v="4"/>
    <n v="7"/>
    <n v="17836"/>
    <x v="2"/>
  </r>
  <r>
    <s v="2024-06-26"/>
    <x v="1"/>
    <x v="9"/>
    <x v="0"/>
    <n v="1"/>
    <n v="1083"/>
    <x v="2"/>
  </r>
  <r>
    <s v="2024-04-17"/>
    <x v="5"/>
    <x v="5"/>
    <x v="3"/>
    <n v="10"/>
    <n v="22540"/>
    <x v="0"/>
  </r>
  <r>
    <s v="2024-06-06"/>
    <x v="1"/>
    <x v="6"/>
    <x v="3"/>
    <n v="4"/>
    <n v="11884"/>
    <x v="3"/>
  </r>
  <r>
    <s v="2024-02-29"/>
    <x v="4"/>
    <x v="9"/>
    <x v="0"/>
    <n v="9"/>
    <n v="26550"/>
    <x v="0"/>
  </r>
  <r>
    <s v="2024-04-11"/>
    <x v="5"/>
    <x v="1"/>
    <x v="1"/>
    <n v="2"/>
    <n v="3878"/>
    <x v="1"/>
  </r>
  <r>
    <s v="2024-04-15"/>
    <x v="5"/>
    <x v="1"/>
    <x v="1"/>
    <n v="10"/>
    <n v="42860"/>
    <x v="0"/>
  </r>
  <r>
    <s v="2024-05-01"/>
    <x v="2"/>
    <x v="6"/>
    <x v="3"/>
    <n v="9"/>
    <n v="42561"/>
    <x v="2"/>
  </r>
  <r>
    <s v="2024-05-13"/>
    <x v="2"/>
    <x v="3"/>
    <x v="3"/>
    <n v="6"/>
    <n v="6348"/>
    <x v="3"/>
  </r>
  <r>
    <s v="2024-01-06"/>
    <x v="3"/>
    <x v="2"/>
    <x v="2"/>
    <n v="9"/>
    <n v="21618"/>
    <x v="0"/>
  </r>
  <r>
    <s v="2024-01-17"/>
    <x v="3"/>
    <x v="8"/>
    <x v="4"/>
    <n v="7"/>
    <n v="10857"/>
    <x v="3"/>
  </r>
  <r>
    <s v="2024-04-20"/>
    <x v="5"/>
    <x v="8"/>
    <x v="4"/>
    <n v="1"/>
    <n v="2491"/>
    <x v="3"/>
  </r>
  <r>
    <s v="2024-04-10"/>
    <x v="5"/>
    <x v="3"/>
    <x v="3"/>
    <n v="7"/>
    <n v="33901"/>
    <x v="0"/>
  </r>
  <r>
    <s v="2024-03-20"/>
    <x v="0"/>
    <x v="7"/>
    <x v="4"/>
    <n v="1"/>
    <n v="4174"/>
    <x v="2"/>
  </r>
  <r>
    <s v="2024-01-15"/>
    <x v="3"/>
    <x v="2"/>
    <x v="2"/>
    <n v="10"/>
    <n v="27970"/>
    <x v="2"/>
  </r>
  <r>
    <s v="2024-03-21"/>
    <x v="0"/>
    <x v="3"/>
    <x v="3"/>
    <n v="8"/>
    <n v="35760"/>
    <x v="1"/>
  </r>
  <r>
    <s v="2024-05-07"/>
    <x v="2"/>
    <x v="7"/>
    <x v="4"/>
    <n v="4"/>
    <n v="4596"/>
    <x v="2"/>
  </r>
  <r>
    <s v="2024-03-07"/>
    <x v="0"/>
    <x v="5"/>
    <x v="3"/>
    <n v="6"/>
    <n v="25680"/>
    <x v="1"/>
  </r>
  <r>
    <s v="2024-02-23"/>
    <x v="4"/>
    <x v="8"/>
    <x v="4"/>
    <n v="2"/>
    <n v="1982"/>
    <x v="1"/>
  </r>
  <r>
    <s v="2024-04-05"/>
    <x v="5"/>
    <x v="7"/>
    <x v="4"/>
    <n v="3"/>
    <n v="14259"/>
    <x v="2"/>
  </r>
  <r>
    <s v="2024-02-27"/>
    <x v="4"/>
    <x v="7"/>
    <x v="4"/>
    <n v="1"/>
    <n v="3247"/>
    <x v="0"/>
  </r>
  <r>
    <s v="2024-04-29"/>
    <x v="5"/>
    <x v="4"/>
    <x v="0"/>
    <n v="6"/>
    <n v="4650"/>
    <x v="2"/>
  </r>
  <r>
    <s v="2024-06-16"/>
    <x v="1"/>
    <x v="6"/>
    <x v="3"/>
    <n v="5"/>
    <n v="10870"/>
    <x v="1"/>
  </r>
  <r>
    <s v="2024-06-17"/>
    <x v="1"/>
    <x v="0"/>
    <x v="0"/>
    <n v="7"/>
    <n v="21483"/>
    <x v="3"/>
  </r>
  <r>
    <s v="2024-01-18"/>
    <x v="3"/>
    <x v="7"/>
    <x v="4"/>
    <n v="9"/>
    <n v="44622"/>
    <x v="2"/>
  </r>
  <r>
    <s v="2024-03-11"/>
    <x v="0"/>
    <x v="2"/>
    <x v="2"/>
    <n v="8"/>
    <n v="2818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12F26-1DEA-48AE-B90A-DCDA229DA7FB}" name="PivotTable8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15:H16" firstHeaderRow="1" firstDataRow="1" firstDataCol="0"/>
  <pivotFields count="7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Total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BA091-6AB2-4AD7-A14B-9EF357D2758A}" name="PivotTable7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2:H3" firstHeaderRow="1" firstDataRow="1" firstDataCol="0"/>
  <pivotFields count="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Items count="1">
    <i/>
  </rowItems>
  <colItems count="1">
    <i/>
  </colItems>
  <dataFields count="1">
    <dataField name="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A07A4-C639-4352-9780-067FFE10DC22}" name="PivotTable6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4:F40" firstHeaderRow="1" firstDataRow="1" firstDataCol="1"/>
  <pivotFields count="7">
    <pivotField compact="0" outline="0" showAll="0"/>
    <pivotField compact="0" outline="0" showAll="0"/>
    <pivotField axis="axisRow" compact="0" outline="0" showAll="0" measureFilter="1">
      <items count="11">
        <item x="2"/>
        <item x="4"/>
        <item x="5"/>
        <item x="7"/>
        <item x="6"/>
        <item x="3"/>
        <item x="9"/>
        <item x="0"/>
        <item x="1"/>
        <item x="8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6">
    <i>
      <x/>
    </i>
    <i>
      <x v="3"/>
    </i>
    <i>
      <x v="4"/>
    </i>
    <i>
      <x v="5"/>
    </i>
    <i>
      <x v="8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A6913-485A-4892-8D44-D677EB1B3056}" name="PivotTable5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24:F31" firstHeaderRow="1" firstDataRow="1" firstDataCol="1"/>
  <pivotFields count="7">
    <pivotField compact="0" outline="0" showAll="0"/>
    <pivotField axis="axisRow" compact="0" outline="0" showAll="0">
      <items count="7">
        <item x="5"/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32097-376E-4329-8381-67C8FE814792}" name="PivotTable4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5:F20" firstHeaderRow="1" firstDataRow="1" firstDataCol="1"/>
  <pivotFields count="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E7F8C-127D-4D73-95E3-55569557F761}" name="PivotTable3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2:F8" firstHeaderRow="1" firstDataRow="1" firstDataCol="1"/>
  <pivotFields count="7"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3"/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385F7-E503-47A3-A673-3C39072D3BEC}" name="Table1" displayName="Table1" ref="A1:G101" totalsRowShown="0">
  <autoFilter ref="A1:G101" xr:uid="{748385F7-E503-47A3-A673-3C39072D3BEC}"/>
  <tableColumns count="7">
    <tableColumn id="1" xr3:uid="{0A4E8B9C-E9CE-4288-972D-7240A1534279}" name="Order_Date"/>
    <tableColumn id="7" xr3:uid="{8B36E3B5-ECE6-4319-A23D-4BA3203EF05E}" name="Months" dataDxfId="0">
      <calculatedColumnFormula>TEXT(A2,"mmm-yyyy")</calculatedColumnFormula>
    </tableColumn>
    <tableColumn id="2" xr3:uid="{29DC308D-FB4F-46B6-8DA5-B0C302B4EC0B}" name="Product"/>
    <tableColumn id="3" xr3:uid="{32B5C514-C1E5-486E-85F3-876743DE61A1}" name="Category"/>
    <tableColumn id="4" xr3:uid="{A6D8F983-665D-4B65-9D9F-C7971B2AA573}" name="Quantity"/>
    <tableColumn id="5" xr3:uid="{0972F299-C2B6-4E84-BE2E-F5681A5568D9}" name="Sales"/>
    <tableColumn id="6" xr3:uid="{AAEDBF6D-B7DA-49FB-B2F3-819E30370EEE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activeCell="D10" sqref="A2:G101"/>
    </sheetView>
  </sheetViews>
  <sheetFormatPr defaultRowHeight="15"/>
  <cols>
    <col min="1" max="1" width="13.5703125" bestFit="1" customWidth="1"/>
    <col min="2" max="3" width="13.5703125" customWidth="1"/>
    <col min="4" max="4" width="13" bestFit="1" customWidth="1"/>
    <col min="5" max="5" width="11.140625" bestFit="1" customWidth="1"/>
    <col min="6" max="6" width="11" bestFit="1" customWidth="1"/>
    <col min="8" max="8" width="9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tr">
        <f t="shared" ref="B2:B33" si="0">TEXT(A2,"mmm-yyyy")</f>
        <v>Mar-2024</v>
      </c>
      <c r="C2" t="s">
        <v>8</v>
      </c>
      <c r="D2" t="s">
        <v>9</v>
      </c>
      <c r="E2">
        <v>4</v>
      </c>
      <c r="F2">
        <v>10212</v>
      </c>
      <c r="G2" t="s">
        <v>10</v>
      </c>
    </row>
    <row r="3" spans="1:7">
      <c r="A3" t="s">
        <v>11</v>
      </c>
      <c r="B3" t="str">
        <f t="shared" si="0"/>
        <v>Mar-2024</v>
      </c>
      <c r="C3" t="s">
        <v>8</v>
      </c>
      <c r="D3" t="s">
        <v>9</v>
      </c>
      <c r="E3">
        <v>3</v>
      </c>
      <c r="F3">
        <v>2760</v>
      </c>
      <c r="G3" t="s">
        <v>12</v>
      </c>
    </row>
    <row r="4" spans="1:7">
      <c r="A4" t="s">
        <v>13</v>
      </c>
      <c r="B4" t="str">
        <f t="shared" si="0"/>
        <v>Jun-2024</v>
      </c>
      <c r="C4" t="s">
        <v>14</v>
      </c>
      <c r="D4" t="s">
        <v>15</v>
      </c>
      <c r="E4" s="1">
        <v>4</v>
      </c>
      <c r="F4">
        <v>2168</v>
      </c>
      <c r="G4" t="s">
        <v>16</v>
      </c>
    </row>
    <row r="5" spans="1:7">
      <c r="A5" t="s">
        <v>17</v>
      </c>
      <c r="B5" t="str">
        <f t="shared" si="0"/>
        <v>May-2024</v>
      </c>
      <c r="C5" t="s">
        <v>18</v>
      </c>
      <c r="D5" t="s">
        <v>19</v>
      </c>
      <c r="E5">
        <v>2</v>
      </c>
      <c r="F5">
        <v>5470</v>
      </c>
      <c r="G5" t="s">
        <v>20</v>
      </c>
    </row>
    <row r="6" spans="1:7">
      <c r="A6" t="s">
        <v>21</v>
      </c>
      <c r="B6" t="str">
        <f t="shared" si="0"/>
        <v>Jun-2024</v>
      </c>
      <c r="C6" t="s">
        <v>14</v>
      </c>
      <c r="D6" t="s">
        <v>15</v>
      </c>
      <c r="E6">
        <v>7</v>
      </c>
      <c r="F6">
        <v>29596</v>
      </c>
      <c r="G6" t="s">
        <v>16</v>
      </c>
    </row>
    <row r="7" spans="1:7">
      <c r="A7" t="s">
        <v>22</v>
      </c>
      <c r="B7" t="str">
        <f t="shared" si="0"/>
        <v>May-2024</v>
      </c>
      <c r="C7" t="s">
        <v>23</v>
      </c>
      <c r="D7" t="s">
        <v>24</v>
      </c>
      <c r="E7">
        <v>3</v>
      </c>
      <c r="F7">
        <v>5103</v>
      </c>
      <c r="G7" t="s">
        <v>16</v>
      </c>
    </row>
    <row r="8" spans="1:7">
      <c r="A8" t="s">
        <v>25</v>
      </c>
      <c r="B8" t="str">
        <f t="shared" si="0"/>
        <v>Jan-2024</v>
      </c>
      <c r="C8" t="s">
        <v>23</v>
      </c>
      <c r="D8" t="s">
        <v>24</v>
      </c>
      <c r="E8">
        <v>7</v>
      </c>
      <c r="F8">
        <v>29183</v>
      </c>
      <c r="G8" t="s">
        <v>10</v>
      </c>
    </row>
    <row r="9" spans="1:7">
      <c r="A9" t="s">
        <v>26</v>
      </c>
      <c r="B9" t="str">
        <f t="shared" si="0"/>
        <v>Feb-2024</v>
      </c>
      <c r="C9" t="s">
        <v>27</v>
      </c>
      <c r="D9" t="s">
        <v>9</v>
      </c>
      <c r="E9">
        <v>7</v>
      </c>
      <c r="F9">
        <v>34951</v>
      </c>
      <c r="G9" t="s">
        <v>16</v>
      </c>
    </row>
    <row r="10" spans="1:7">
      <c r="A10" t="s">
        <v>28</v>
      </c>
      <c r="B10" t="str">
        <f t="shared" si="0"/>
        <v>May-2024</v>
      </c>
      <c r="C10" t="s">
        <v>14</v>
      </c>
      <c r="D10" t="s">
        <v>15</v>
      </c>
      <c r="E10">
        <v>1</v>
      </c>
      <c r="F10">
        <v>969</v>
      </c>
      <c r="G10" t="s">
        <v>10</v>
      </c>
    </row>
    <row r="11" spans="1:7">
      <c r="A11" t="s">
        <v>29</v>
      </c>
      <c r="B11" t="str">
        <f t="shared" si="0"/>
        <v>Jun-2024</v>
      </c>
      <c r="C11" t="s">
        <v>27</v>
      </c>
      <c r="D11" t="s">
        <v>9</v>
      </c>
      <c r="E11">
        <v>7</v>
      </c>
      <c r="F11">
        <v>19537</v>
      </c>
      <c r="G11" t="s">
        <v>12</v>
      </c>
    </row>
    <row r="12" spans="1:7">
      <c r="A12" t="s">
        <v>30</v>
      </c>
      <c r="B12" t="str">
        <f t="shared" si="0"/>
        <v>Jun-2024</v>
      </c>
      <c r="C12" t="s">
        <v>23</v>
      </c>
      <c r="D12" t="s">
        <v>24</v>
      </c>
      <c r="E12">
        <v>3</v>
      </c>
      <c r="F12">
        <v>14682</v>
      </c>
      <c r="G12" t="s">
        <v>20</v>
      </c>
    </row>
    <row r="13" spans="1:7">
      <c r="A13" t="s">
        <v>31</v>
      </c>
      <c r="B13" t="str">
        <f t="shared" si="0"/>
        <v>May-2024</v>
      </c>
      <c r="C13" t="s">
        <v>32</v>
      </c>
      <c r="D13" t="s">
        <v>24</v>
      </c>
      <c r="E13">
        <v>6</v>
      </c>
      <c r="F13">
        <v>12372</v>
      </c>
      <c r="G13" t="s">
        <v>16</v>
      </c>
    </row>
    <row r="14" spans="1:7">
      <c r="A14" t="s">
        <v>33</v>
      </c>
      <c r="B14" t="str">
        <f t="shared" si="0"/>
        <v>May-2024</v>
      </c>
      <c r="C14" t="s">
        <v>34</v>
      </c>
      <c r="D14" t="s">
        <v>24</v>
      </c>
      <c r="E14">
        <v>6</v>
      </c>
      <c r="F14">
        <v>19572</v>
      </c>
      <c r="G14" t="s">
        <v>10</v>
      </c>
    </row>
    <row r="15" spans="1:7">
      <c r="A15" t="s">
        <v>35</v>
      </c>
      <c r="B15" t="str">
        <f t="shared" si="0"/>
        <v>Jun-2024</v>
      </c>
      <c r="C15" t="s">
        <v>36</v>
      </c>
      <c r="D15" t="s">
        <v>37</v>
      </c>
      <c r="E15">
        <v>6</v>
      </c>
      <c r="F15">
        <v>12012</v>
      </c>
      <c r="G15" t="s">
        <v>20</v>
      </c>
    </row>
    <row r="16" spans="1:7">
      <c r="A16" t="s">
        <v>38</v>
      </c>
      <c r="B16" t="str">
        <f t="shared" si="0"/>
        <v>May-2024</v>
      </c>
      <c r="C16" t="s">
        <v>8</v>
      </c>
      <c r="D16" t="s">
        <v>9</v>
      </c>
      <c r="E16">
        <v>7</v>
      </c>
      <c r="F16">
        <v>5642</v>
      </c>
      <c r="G16" t="s">
        <v>16</v>
      </c>
    </row>
    <row r="17" spans="1:7">
      <c r="A17" t="s">
        <v>39</v>
      </c>
      <c r="B17" t="str">
        <f t="shared" si="0"/>
        <v>Apr-2024</v>
      </c>
      <c r="C17" t="s">
        <v>18</v>
      </c>
      <c r="D17" t="s">
        <v>19</v>
      </c>
      <c r="E17">
        <v>3</v>
      </c>
      <c r="F17">
        <v>7482</v>
      </c>
      <c r="G17" t="s">
        <v>12</v>
      </c>
    </row>
    <row r="18" spans="1:7">
      <c r="A18" t="s">
        <v>40</v>
      </c>
      <c r="B18" t="str">
        <f t="shared" si="0"/>
        <v>Feb-2024</v>
      </c>
      <c r="C18" t="s">
        <v>34</v>
      </c>
      <c r="D18" t="s">
        <v>24</v>
      </c>
      <c r="E18">
        <v>3</v>
      </c>
      <c r="F18">
        <v>10137</v>
      </c>
      <c r="G18" t="s">
        <v>16</v>
      </c>
    </row>
    <row r="19" spans="1:7">
      <c r="A19" t="s">
        <v>41</v>
      </c>
      <c r="B19" t="str">
        <f t="shared" si="0"/>
        <v>May-2024</v>
      </c>
      <c r="C19" t="s">
        <v>34</v>
      </c>
      <c r="D19" t="s">
        <v>24</v>
      </c>
      <c r="E19">
        <v>4</v>
      </c>
      <c r="F19">
        <v>10868</v>
      </c>
      <c r="G19" t="s">
        <v>20</v>
      </c>
    </row>
    <row r="20" spans="1:7">
      <c r="A20" t="s">
        <v>42</v>
      </c>
      <c r="B20" t="str">
        <f t="shared" si="0"/>
        <v>Mar-2024</v>
      </c>
      <c r="C20" t="s">
        <v>23</v>
      </c>
      <c r="D20" t="s">
        <v>24</v>
      </c>
      <c r="E20">
        <v>7</v>
      </c>
      <c r="F20">
        <v>6678</v>
      </c>
      <c r="G20" t="s">
        <v>12</v>
      </c>
    </row>
    <row r="21" spans="1:7">
      <c r="A21" t="s">
        <v>43</v>
      </c>
      <c r="B21" t="str">
        <f t="shared" si="0"/>
        <v>Feb-2024</v>
      </c>
      <c r="C21" t="s">
        <v>14</v>
      </c>
      <c r="D21" t="s">
        <v>15</v>
      </c>
      <c r="E21">
        <v>1</v>
      </c>
      <c r="F21">
        <v>657</v>
      </c>
      <c r="G21" t="s">
        <v>12</v>
      </c>
    </row>
    <row r="22" spans="1:7">
      <c r="A22" t="s">
        <v>44</v>
      </c>
      <c r="B22" t="str">
        <f t="shared" si="0"/>
        <v>Apr-2024</v>
      </c>
      <c r="C22" t="s">
        <v>23</v>
      </c>
      <c r="D22" t="s">
        <v>24</v>
      </c>
      <c r="E22">
        <v>2</v>
      </c>
      <c r="F22">
        <v>9908</v>
      </c>
      <c r="G22" t="s">
        <v>12</v>
      </c>
    </row>
    <row r="23" spans="1:7">
      <c r="A23" t="s">
        <v>45</v>
      </c>
      <c r="B23" t="str">
        <f t="shared" si="0"/>
        <v>Jun-2024</v>
      </c>
      <c r="C23" t="s">
        <v>36</v>
      </c>
      <c r="D23" t="s">
        <v>37</v>
      </c>
      <c r="E23">
        <v>9</v>
      </c>
      <c r="F23">
        <v>24525</v>
      </c>
      <c r="G23" t="s">
        <v>16</v>
      </c>
    </row>
    <row r="24" spans="1:7">
      <c r="A24" t="s">
        <v>46</v>
      </c>
      <c r="B24" t="str">
        <f t="shared" si="0"/>
        <v>Jan-2024</v>
      </c>
      <c r="C24" t="s">
        <v>14</v>
      </c>
      <c r="D24" t="s">
        <v>15</v>
      </c>
      <c r="E24">
        <v>4</v>
      </c>
      <c r="F24">
        <v>18820</v>
      </c>
      <c r="G24" t="s">
        <v>10</v>
      </c>
    </row>
    <row r="25" spans="1:7">
      <c r="A25" t="s">
        <v>47</v>
      </c>
      <c r="B25" t="str">
        <f t="shared" si="0"/>
        <v>Apr-2024</v>
      </c>
      <c r="C25" t="s">
        <v>14</v>
      </c>
      <c r="D25" t="s">
        <v>15</v>
      </c>
      <c r="E25">
        <v>3</v>
      </c>
      <c r="F25">
        <v>13302</v>
      </c>
      <c r="G25" t="s">
        <v>12</v>
      </c>
    </row>
    <row r="26" spans="1:7">
      <c r="A26" t="s">
        <v>48</v>
      </c>
      <c r="B26" t="str">
        <f t="shared" si="0"/>
        <v>Apr-2024</v>
      </c>
      <c r="C26" t="s">
        <v>49</v>
      </c>
      <c r="D26" t="s">
        <v>37</v>
      </c>
      <c r="E26">
        <v>4</v>
      </c>
      <c r="F26">
        <v>14784</v>
      </c>
      <c r="G26" t="s">
        <v>10</v>
      </c>
    </row>
    <row r="27" spans="1:7">
      <c r="A27" t="s">
        <v>50</v>
      </c>
      <c r="B27" t="str">
        <f t="shared" si="0"/>
        <v>Mar-2024</v>
      </c>
      <c r="C27" t="s">
        <v>18</v>
      </c>
      <c r="D27" t="s">
        <v>19</v>
      </c>
      <c r="E27">
        <v>8</v>
      </c>
      <c r="F27">
        <v>4816</v>
      </c>
      <c r="G27" t="s">
        <v>16</v>
      </c>
    </row>
    <row r="28" spans="1:7">
      <c r="A28" t="s">
        <v>51</v>
      </c>
      <c r="B28" t="str">
        <f t="shared" si="0"/>
        <v>Jan-2024</v>
      </c>
      <c r="C28" t="s">
        <v>52</v>
      </c>
      <c r="D28" t="s">
        <v>9</v>
      </c>
      <c r="E28">
        <v>3</v>
      </c>
      <c r="F28">
        <v>12549</v>
      </c>
      <c r="G28" t="s">
        <v>12</v>
      </c>
    </row>
    <row r="29" spans="1:7">
      <c r="A29" t="s">
        <v>25</v>
      </c>
      <c r="B29" t="str">
        <f t="shared" si="0"/>
        <v>Jan-2024</v>
      </c>
      <c r="C29" t="s">
        <v>34</v>
      </c>
      <c r="D29" t="s">
        <v>24</v>
      </c>
      <c r="E29">
        <v>3</v>
      </c>
      <c r="F29">
        <v>2850</v>
      </c>
      <c r="G29" t="s">
        <v>12</v>
      </c>
    </row>
    <row r="30" spans="1:7">
      <c r="A30" t="s">
        <v>53</v>
      </c>
      <c r="B30" t="str">
        <f t="shared" si="0"/>
        <v>May-2024</v>
      </c>
      <c r="C30" t="s">
        <v>18</v>
      </c>
      <c r="D30" t="s">
        <v>19</v>
      </c>
      <c r="E30">
        <v>3</v>
      </c>
      <c r="F30">
        <v>6246</v>
      </c>
      <c r="G30" t="s">
        <v>20</v>
      </c>
    </row>
    <row r="31" spans="1:7">
      <c r="A31" t="s">
        <v>54</v>
      </c>
      <c r="B31" t="str">
        <f t="shared" si="0"/>
        <v>Feb-2024</v>
      </c>
      <c r="C31" t="s">
        <v>34</v>
      </c>
      <c r="D31" t="s">
        <v>24</v>
      </c>
      <c r="E31">
        <v>5</v>
      </c>
      <c r="F31">
        <v>7045</v>
      </c>
      <c r="G31" t="s">
        <v>20</v>
      </c>
    </row>
    <row r="32" spans="1:7">
      <c r="A32" t="s">
        <v>55</v>
      </c>
      <c r="B32" t="str">
        <f t="shared" si="0"/>
        <v>Jan-2024</v>
      </c>
      <c r="C32" t="s">
        <v>14</v>
      </c>
      <c r="D32" t="s">
        <v>15</v>
      </c>
      <c r="E32">
        <v>4</v>
      </c>
      <c r="F32">
        <v>16312</v>
      </c>
      <c r="G32" t="s">
        <v>10</v>
      </c>
    </row>
    <row r="33" spans="1:7">
      <c r="A33" t="s">
        <v>47</v>
      </c>
      <c r="B33" t="str">
        <f t="shared" si="0"/>
        <v>Apr-2024</v>
      </c>
      <c r="C33" t="s">
        <v>23</v>
      </c>
      <c r="D33" t="s">
        <v>24</v>
      </c>
      <c r="E33">
        <v>8</v>
      </c>
      <c r="F33">
        <v>23664</v>
      </c>
      <c r="G33" t="s">
        <v>16</v>
      </c>
    </row>
    <row r="34" spans="1:7">
      <c r="A34" t="s">
        <v>56</v>
      </c>
      <c r="B34" t="str">
        <f t="shared" ref="B34:B65" si="1">TEXT(A34,"mmm-yyyy")</f>
        <v>Mar-2024</v>
      </c>
      <c r="C34" t="s">
        <v>36</v>
      </c>
      <c r="D34" t="s">
        <v>37</v>
      </c>
      <c r="E34">
        <v>10</v>
      </c>
      <c r="F34">
        <v>14280</v>
      </c>
      <c r="G34" t="s">
        <v>10</v>
      </c>
    </row>
    <row r="35" spans="1:7">
      <c r="A35" t="s">
        <v>57</v>
      </c>
      <c r="B35" t="str">
        <f t="shared" si="1"/>
        <v>Jan-2024</v>
      </c>
      <c r="C35" t="s">
        <v>36</v>
      </c>
      <c r="D35" t="s">
        <v>37</v>
      </c>
      <c r="E35">
        <v>5</v>
      </c>
      <c r="F35">
        <v>10785</v>
      </c>
      <c r="G35" t="s">
        <v>16</v>
      </c>
    </row>
    <row r="36" spans="1:7">
      <c r="A36" t="s">
        <v>58</v>
      </c>
      <c r="B36" t="str">
        <f t="shared" si="1"/>
        <v>Jun-2024</v>
      </c>
      <c r="C36" t="s">
        <v>52</v>
      </c>
      <c r="D36" t="s">
        <v>9</v>
      </c>
      <c r="E36">
        <v>4</v>
      </c>
      <c r="F36">
        <v>3408</v>
      </c>
      <c r="G36" t="s">
        <v>16</v>
      </c>
    </row>
    <row r="37" spans="1:7">
      <c r="A37" t="s">
        <v>43</v>
      </c>
      <c r="B37" t="str">
        <f t="shared" si="1"/>
        <v>Feb-2024</v>
      </c>
      <c r="C37" t="s">
        <v>14</v>
      </c>
      <c r="D37" t="s">
        <v>15</v>
      </c>
      <c r="E37">
        <v>4</v>
      </c>
      <c r="F37">
        <v>19804</v>
      </c>
      <c r="G37" t="s">
        <v>10</v>
      </c>
    </row>
    <row r="38" spans="1:7">
      <c r="A38" t="s">
        <v>59</v>
      </c>
      <c r="B38" t="str">
        <f t="shared" si="1"/>
        <v>May-2024</v>
      </c>
      <c r="C38" t="s">
        <v>32</v>
      </c>
      <c r="D38" t="s">
        <v>24</v>
      </c>
      <c r="E38">
        <v>1</v>
      </c>
      <c r="F38">
        <v>2959</v>
      </c>
      <c r="G38" t="s">
        <v>12</v>
      </c>
    </row>
    <row r="39" spans="1:7">
      <c r="A39" t="s">
        <v>60</v>
      </c>
      <c r="B39" t="str">
        <f t="shared" si="1"/>
        <v>Feb-2024</v>
      </c>
      <c r="C39" t="s">
        <v>36</v>
      </c>
      <c r="D39" t="s">
        <v>37</v>
      </c>
      <c r="E39">
        <v>5</v>
      </c>
      <c r="F39">
        <v>12585</v>
      </c>
      <c r="G39" t="s">
        <v>10</v>
      </c>
    </row>
    <row r="40" spans="1:7">
      <c r="A40" t="s">
        <v>61</v>
      </c>
      <c r="B40" t="str">
        <f t="shared" si="1"/>
        <v>Mar-2024</v>
      </c>
      <c r="C40" t="s">
        <v>27</v>
      </c>
      <c r="D40" t="s">
        <v>9</v>
      </c>
      <c r="E40">
        <v>2</v>
      </c>
      <c r="F40">
        <v>3570</v>
      </c>
      <c r="G40" t="s">
        <v>20</v>
      </c>
    </row>
    <row r="41" spans="1:7">
      <c r="A41" t="s">
        <v>62</v>
      </c>
      <c r="B41" t="str">
        <f t="shared" si="1"/>
        <v>Jan-2024</v>
      </c>
      <c r="C41" t="s">
        <v>14</v>
      </c>
      <c r="D41" t="s">
        <v>15</v>
      </c>
      <c r="E41">
        <v>2</v>
      </c>
      <c r="F41">
        <v>9370</v>
      </c>
      <c r="G41" t="s">
        <v>20</v>
      </c>
    </row>
    <row r="42" spans="1:7">
      <c r="A42" t="s">
        <v>63</v>
      </c>
      <c r="B42" t="str">
        <f t="shared" si="1"/>
        <v>Jan-2024</v>
      </c>
      <c r="C42" t="s">
        <v>49</v>
      </c>
      <c r="D42" t="s">
        <v>37</v>
      </c>
      <c r="E42">
        <v>1</v>
      </c>
      <c r="F42">
        <v>4807</v>
      </c>
      <c r="G42" t="s">
        <v>20</v>
      </c>
    </row>
    <row r="43" spans="1:7">
      <c r="A43" t="s">
        <v>64</v>
      </c>
      <c r="B43" t="str">
        <f t="shared" si="1"/>
        <v>Apr-2024</v>
      </c>
      <c r="C43" t="s">
        <v>34</v>
      </c>
      <c r="D43" t="s">
        <v>24</v>
      </c>
      <c r="E43">
        <v>8</v>
      </c>
      <c r="F43">
        <v>24792</v>
      </c>
      <c r="G43" t="s">
        <v>20</v>
      </c>
    </row>
    <row r="44" spans="1:7">
      <c r="A44" t="s">
        <v>65</v>
      </c>
      <c r="B44" t="str">
        <f t="shared" si="1"/>
        <v>Jan-2024</v>
      </c>
      <c r="C44" t="s">
        <v>14</v>
      </c>
      <c r="D44" t="s">
        <v>15</v>
      </c>
      <c r="E44">
        <v>3</v>
      </c>
      <c r="F44">
        <v>12105</v>
      </c>
      <c r="G44" t="s">
        <v>10</v>
      </c>
    </row>
    <row r="45" spans="1:7">
      <c r="A45" t="s">
        <v>66</v>
      </c>
      <c r="B45" t="str">
        <f t="shared" si="1"/>
        <v>Apr-2024</v>
      </c>
      <c r="C45" t="s">
        <v>18</v>
      </c>
      <c r="D45" t="s">
        <v>19</v>
      </c>
      <c r="E45">
        <v>7</v>
      </c>
      <c r="F45">
        <v>29505</v>
      </c>
      <c r="G45" t="s">
        <v>10</v>
      </c>
    </row>
    <row r="46" spans="1:7">
      <c r="A46" t="s">
        <v>67</v>
      </c>
      <c r="B46" t="str">
        <f t="shared" si="1"/>
        <v>Jan-2024</v>
      </c>
      <c r="C46" t="s">
        <v>36</v>
      </c>
      <c r="D46" t="s">
        <v>37</v>
      </c>
      <c r="E46">
        <v>2</v>
      </c>
      <c r="F46">
        <v>7400</v>
      </c>
      <c r="G46" t="s">
        <v>10</v>
      </c>
    </row>
    <row r="47" spans="1:7">
      <c r="A47" t="s">
        <v>68</v>
      </c>
      <c r="B47" t="str">
        <f t="shared" si="1"/>
        <v>Jun-2024</v>
      </c>
      <c r="C47" t="s">
        <v>36</v>
      </c>
      <c r="D47" t="s">
        <v>37</v>
      </c>
      <c r="E47">
        <v>5</v>
      </c>
      <c r="F47">
        <v>11770</v>
      </c>
      <c r="G47" t="s">
        <v>12</v>
      </c>
    </row>
    <row r="48" spans="1:7">
      <c r="A48" t="s">
        <v>69</v>
      </c>
      <c r="B48" t="str">
        <f t="shared" si="1"/>
        <v>Apr-2024</v>
      </c>
      <c r="C48" t="s">
        <v>34</v>
      </c>
      <c r="D48" t="s">
        <v>24</v>
      </c>
      <c r="E48">
        <v>4</v>
      </c>
      <c r="F48">
        <v>3448</v>
      </c>
      <c r="G48" t="s">
        <v>10</v>
      </c>
    </row>
    <row r="49" spans="1:7">
      <c r="A49" t="s">
        <v>70</v>
      </c>
      <c r="B49" t="str">
        <f t="shared" si="1"/>
        <v>Apr-2024</v>
      </c>
      <c r="C49" t="s">
        <v>49</v>
      </c>
      <c r="D49" t="s">
        <v>37</v>
      </c>
      <c r="E49">
        <v>8</v>
      </c>
      <c r="F49">
        <v>4448</v>
      </c>
      <c r="G49" t="s">
        <v>10</v>
      </c>
    </row>
    <row r="50" spans="1:7">
      <c r="A50" t="s">
        <v>71</v>
      </c>
      <c r="B50" t="str">
        <f t="shared" si="1"/>
        <v>Jun-2024</v>
      </c>
      <c r="C50" t="s">
        <v>34</v>
      </c>
      <c r="D50" t="s">
        <v>24</v>
      </c>
      <c r="E50">
        <v>8</v>
      </c>
      <c r="F50">
        <v>22472</v>
      </c>
      <c r="G50" t="s">
        <v>12</v>
      </c>
    </row>
    <row r="51" spans="1:7">
      <c r="A51" t="s">
        <v>72</v>
      </c>
      <c r="B51" t="str">
        <f t="shared" si="1"/>
        <v>Feb-2024</v>
      </c>
      <c r="C51" t="s">
        <v>34</v>
      </c>
      <c r="D51" t="s">
        <v>24</v>
      </c>
      <c r="E51">
        <v>10</v>
      </c>
      <c r="F51">
        <v>7590</v>
      </c>
      <c r="G51" t="s">
        <v>20</v>
      </c>
    </row>
    <row r="52" spans="1:7">
      <c r="A52" t="s">
        <v>73</v>
      </c>
      <c r="B52" t="str">
        <f t="shared" si="1"/>
        <v>Jan-2024</v>
      </c>
      <c r="C52" t="s">
        <v>14</v>
      </c>
      <c r="D52" t="s">
        <v>15</v>
      </c>
      <c r="E52">
        <v>9</v>
      </c>
      <c r="F52">
        <v>37665</v>
      </c>
      <c r="G52" t="s">
        <v>10</v>
      </c>
    </row>
    <row r="53" spans="1:7">
      <c r="A53" t="s">
        <v>74</v>
      </c>
      <c r="B53" t="str">
        <f t="shared" si="1"/>
        <v>May-2024</v>
      </c>
      <c r="C53" t="s">
        <v>52</v>
      </c>
      <c r="D53" t="s">
        <v>9</v>
      </c>
      <c r="E53">
        <v>4</v>
      </c>
      <c r="F53">
        <v>5816</v>
      </c>
      <c r="G53" t="s">
        <v>16</v>
      </c>
    </row>
    <row r="54" spans="1:7">
      <c r="A54" t="s">
        <v>69</v>
      </c>
      <c r="B54" t="str">
        <f t="shared" si="1"/>
        <v>Apr-2024</v>
      </c>
      <c r="C54" t="s">
        <v>52</v>
      </c>
      <c r="D54" t="s">
        <v>9</v>
      </c>
      <c r="E54">
        <v>2</v>
      </c>
      <c r="F54">
        <v>7486</v>
      </c>
      <c r="G54" t="s">
        <v>10</v>
      </c>
    </row>
    <row r="55" spans="1:7">
      <c r="A55" t="s">
        <v>75</v>
      </c>
      <c r="B55" t="str">
        <f t="shared" si="1"/>
        <v>Apr-2024</v>
      </c>
      <c r="C55" t="s">
        <v>14</v>
      </c>
      <c r="D55" t="s">
        <v>15</v>
      </c>
      <c r="E55">
        <v>4</v>
      </c>
      <c r="F55">
        <v>8604</v>
      </c>
      <c r="G55" t="s">
        <v>12</v>
      </c>
    </row>
    <row r="56" spans="1:7">
      <c r="A56" t="s">
        <v>76</v>
      </c>
      <c r="B56" t="str">
        <f t="shared" si="1"/>
        <v>Mar-2024</v>
      </c>
      <c r="C56" t="s">
        <v>14</v>
      </c>
      <c r="D56" t="s">
        <v>15</v>
      </c>
      <c r="E56">
        <v>2</v>
      </c>
      <c r="F56">
        <v>1810</v>
      </c>
      <c r="G56" t="s">
        <v>20</v>
      </c>
    </row>
    <row r="57" spans="1:7">
      <c r="A57" t="s">
        <v>77</v>
      </c>
      <c r="B57" t="str">
        <f t="shared" si="1"/>
        <v>Jan-2024</v>
      </c>
      <c r="C57" t="s">
        <v>52</v>
      </c>
      <c r="D57" t="s">
        <v>9</v>
      </c>
      <c r="E57">
        <v>4</v>
      </c>
      <c r="F57">
        <v>6556</v>
      </c>
      <c r="G57" t="s">
        <v>12</v>
      </c>
    </row>
    <row r="58" spans="1:7">
      <c r="A58" t="s">
        <v>78</v>
      </c>
      <c r="B58" t="str">
        <f t="shared" si="1"/>
        <v>May-2024</v>
      </c>
      <c r="C58" t="s">
        <v>32</v>
      </c>
      <c r="D58" t="s">
        <v>24</v>
      </c>
      <c r="E58">
        <v>3</v>
      </c>
      <c r="F58">
        <v>12819</v>
      </c>
      <c r="G58" t="s">
        <v>10</v>
      </c>
    </row>
    <row r="59" spans="1:7">
      <c r="A59" t="s">
        <v>79</v>
      </c>
      <c r="B59" t="str">
        <f t="shared" si="1"/>
        <v>Mar-2024</v>
      </c>
      <c r="C59" t="s">
        <v>36</v>
      </c>
      <c r="D59" t="s">
        <v>37</v>
      </c>
      <c r="E59">
        <v>2</v>
      </c>
      <c r="F59">
        <v>7548</v>
      </c>
      <c r="G59" t="s">
        <v>10</v>
      </c>
    </row>
    <row r="60" spans="1:7">
      <c r="A60" t="s">
        <v>80</v>
      </c>
      <c r="B60" t="str">
        <f t="shared" si="1"/>
        <v>Feb-2024</v>
      </c>
      <c r="C60" t="s">
        <v>14</v>
      </c>
      <c r="D60" t="s">
        <v>15</v>
      </c>
      <c r="E60">
        <v>5</v>
      </c>
      <c r="F60">
        <v>23375</v>
      </c>
      <c r="G60" t="s">
        <v>16</v>
      </c>
    </row>
    <row r="61" spans="1:7">
      <c r="A61" t="s">
        <v>74</v>
      </c>
      <c r="B61" t="str">
        <f t="shared" si="1"/>
        <v>May-2024</v>
      </c>
      <c r="C61" t="s">
        <v>34</v>
      </c>
      <c r="D61" t="s">
        <v>24</v>
      </c>
      <c r="E61">
        <v>3</v>
      </c>
      <c r="F61">
        <v>10140</v>
      </c>
      <c r="G61" t="s">
        <v>10</v>
      </c>
    </row>
    <row r="62" spans="1:7">
      <c r="A62" t="s">
        <v>81</v>
      </c>
      <c r="B62" t="str">
        <f t="shared" si="1"/>
        <v>Feb-2024</v>
      </c>
      <c r="C62" t="s">
        <v>34</v>
      </c>
      <c r="D62" t="s">
        <v>24</v>
      </c>
      <c r="E62">
        <v>8</v>
      </c>
      <c r="F62">
        <v>36648</v>
      </c>
      <c r="G62" t="s">
        <v>20</v>
      </c>
    </row>
    <row r="63" spans="1:7">
      <c r="A63" t="s">
        <v>82</v>
      </c>
      <c r="B63" t="str">
        <f t="shared" si="1"/>
        <v>Apr-2024</v>
      </c>
      <c r="C63" t="s">
        <v>18</v>
      </c>
      <c r="D63" t="s">
        <v>19</v>
      </c>
      <c r="E63">
        <v>4</v>
      </c>
      <c r="F63">
        <v>13120</v>
      </c>
      <c r="G63" t="s">
        <v>20</v>
      </c>
    </row>
    <row r="64" spans="1:7">
      <c r="A64" t="s">
        <v>83</v>
      </c>
      <c r="B64" t="str">
        <f t="shared" si="1"/>
        <v>Jan-2024</v>
      </c>
      <c r="C64" t="s">
        <v>52</v>
      </c>
      <c r="D64" t="s">
        <v>9</v>
      </c>
      <c r="E64">
        <v>5</v>
      </c>
      <c r="F64">
        <v>17110</v>
      </c>
      <c r="G64" t="s">
        <v>12</v>
      </c>
    </row>
    <row r="65" spans="1:7">
      <c r="A65" t="s">
        <v>84</v>
      </c>
      <c r="B65" t="str">
        <f t="shared" si="1"/>
        <v>Apr-2024</v>
      </c>
      <c r="C65" t="s">
        <v>49</v>
      </c>
      <c r="D65" t="s">
        <v>37</v>
      </c>
      <c r="E65">
        <v>10</v>
      </c>
      <c r="F65">
        <v>41560</v>
      </c>
      <c r="G65" t="s">
        <v>16</v>
      </c>
    </row>
    <row r="66" spans="1:7">
      <c r="A66" t="s">
        <v>85</v>
      </c>
      <c r="B66" t="str">
        <f t="shared" ref="B66:B97" si="2">TEXT(A66,"mmm-yyyy")</f>
        <v>Jun-2024</v>
      </c>
      <c r="C66" t="s">
        <v>18</v>
      </c>
      <c r="D66" t="s">
        <v>19</v>
      </c>
      <c r="E66">
        <v>6</v>
      </c>
      <c r="F66">
        <v>27114</v>
      </c>
      <c r="G66" t="s">
        <v>10</v>
      </c>
    </row>
    <row r="67" spans="1:7">
      <c r="A67" t="s">
        <v>21</v>
      </c>
      <c r="B67" t="str">
        <f t="shared" si="2"/>
        <v>Jun-2024</v>
      </c>
      <c r="C67" t="s">
        <v>52</v>
      </c>
      <c r="D67" t="s">
        <v>9</v>
      </c>
      <c r="E67">
        <v>3</v>
      </c>
      <c r="F67">
        <v>7452</v>
      </c>
      <c r="G67" t="s">
        <v>10</v>
      </c>
    </row>
    <row r="68" spans="1:7">
      <c r="A68" t="s">
        <v>70</v>
      </c>
      <c r="B68" t="str">
        <f t="shared" si="2"/>
        <v>Apr-2024</v>
      </c>
      <c r="C68" t="s">
        <v>34</v>
      </c>
      <c r="D68" t="s">
        <v>24</v>
      </c>
      <c r="E68">
        <v>3</v>
      </c>
      <c r="F68">
        <v>7647</v>
      </c>
      <c r="G68" t="s">
        <v>10</v>
      </c>
    </row>
    <row r="69" spans="1:7">
      <c r="A69" t="s">
        <v>86</v>
      </c>
      <c r="B69" t="str">
        <f t="shared" si="2"/>
        <v>Jan-2024</v>
      </c>
      <c r="C69" t="s">
        <v>49</v>
      </c>
      <c r="D69" t="s">
        <v>37</v>
      </c>
      <c r="E69">
        <v>1</v>
      </c>
      <c r="F69">
        <v>2888</v>
      </c>
      <c r="G69" t="s">
        <v>16</v>
      </c>
    </row>
    <row r="70" spans="1:7">
      <c r="A70" t="s">
        <v>85</v>
      </c>
      <c r="B70" t="str">
        <f t="shared" si="2"/>
        <v>Jun-2024</v>
      </c>
      <c r="C70" t="s">
        <v>49</v>
      </c>
      <c r="D70" t="s">
        <v>37</v>
      </c>
      <c r="E70">
        <v>7</v>
      </c>
      <c r="F70">
        <v>26110</v>
      </c>
      <c r="G70" t="s">
        <v>16</v>
      </c>
    </row>
    <row r="71" spans="1:7">
      <c r="A71" t="s">
        <v>87</v>
      </c>
      <c r="B71" t="str">
        <f t="shared" si="2"/>
        <v>May-2024</v>
      </c>
      <c r="C71" t="s">
        <v>14</v>
      </c>
      <c r="D71" t="s">
        <v>15</v>
      </c>
      <c r="E71">
        <v>1</v>
      </c>
      <c r="F71">
        <v>922</v>
      </c>
      <c r="G71" t="s">
        <v>20</v>
      </c>
    </row>
    <row r="72" spans="1:7">
      <c r="A72" t="s">
        <v>88</v>
      </c>
      <c r="B72" t="str">
        <f t="shared" si="2"/>
        <v>Apr-2024</v>
      </c>
      <c r="C72" t="s">
        <v>18</v>
      </c>
      <c r="D72" t="s">
        <v>19</v>
      </c>
      <c r="E72">
        <v>4</v>
      </c>
      <c r="F72">
        <v>19096</v>
      </c>
      <c r="G72" t="s">
        <v>20</v>
      </c>
    </row>
    <row r="73" spans="1:7">
      <c r="A73" t="s">
        <v>89</v>
      </c>
      <c r="B73" t="str">
        <f t="shared" si="2"/>
        <v>May-2024</v>
      </c>
      <c r="C73" t="s">
        <v>32</v>
      </c>
      <c r="D73" t="s">
        <v>24</v>
      </c>
      <c r="E73">
        <v>1</v>
      </c>
      <c r="F73">
        <v>4896</v>
      </c>
      <c r="G73" t="s">
        <v>20</v>
      </c>
    </row>
    <row r="74" spans="1:7">
      <c r="A74" t="s">
        <v>90</v>
      </c>
      <c r="B74" t="str">
        <f t="shared" si="2"/>
        <v>Mar-2024</v>
      </c>
      <c r="C74" t="s">
        <v>52</v>
      </c>
      <c r="D74" t="s">
        <v>9</v>
      </c>
      <c r="E74">
        <v>6</v>
      </c>
      <c r="F74">
        <v>26514</v>
      </c>
      <c r="G74" t="s">
        <v>12</v>
      </c>
    </row>
    <row r="75" spans="1:7">
      <c r="A75" t="s">
        <v>91</v>
      </c>
      <c r="B75" t="str">
        <f t="shared" si="2"/>
        <v>Jan-2024</v>
      </c>
      <c r="C75" t="s">
        <v>27</v>
      </c>
      <c r="D75" t="s">
        <v>9</v>
      </c>
      <c r="E75">
        <v>2</v>
      </c>
      <c r="F75">
        <v>4634</v>
      </c>
      <c r="G75" t="s">
        <v>10</v>
      </c>
    </row>
    <row r="76" spans="1:7">
      <c r="A76" t="s">
        <v>92</v>
      </c>
      <c r="B76" t="str">
        <f t="shared" si="2"/>
        <v>Feb-2024</v>
      </c>
      <c r="C76" t="s">
        <v>36</v>
      </c>
      <c r="D76" t="s">
        <v>37</v>
      </c>
      <c r="E76">
        <v>7</v>
      </c>
      <c r="F76">
        <v>17836</v>
      </c>
      <c r="G76" t="s">
        <v>16</v>
      </c>
    </row>
    <row r="77" spans="1:7">
      <c r="A77" t="s">
        <v>93</v>
      </c>
      <c r="B77" t="str">
        <f t="shared" si="2"/>
        <v>Jun-2024</v>
      </c>
      <c r="C77" t="s">
        <v>52</v>
      </c>
      <c r="D77" t="s">
        <v>9</v>
      </c>
      <c r="E77">
        <v>1</v>
      </c>
      <c r="F77">
        <v>1083</v>
      </c>
      <c r="G77" t="s">
        <v>16</v>
      </c>
    </row>
    <row r="78" spans="1:7">
      <c r="A78" t="s">
        <v>94</v>
      </c>
      <c r="B78" t="str">
        <f t="shared" si="2"/>
        <v>Apr-2024</v>
      </c>
      <c r="C78" t="s">
        <v>32</v>
      </c>
      <c r="D78" t="s">
        <v>24</v>
      </c>
      <c r="E78">
        <v>10</v>
      </c>
      <c r="F78">
        <v>22540</v>
      </c>
      <c r="G78" t="s">
        <v>10</v>
      </c>
    </row>
    <row r="79" spans="1:7">
      <c r="A79" t="s">
        <v>95</v>
      </c>
      <c r="B79" t="str">
        <f t="shared" si="2"/>
        <v>Jun-2024</v>
      </c>
      <c r="C79" t="s">
        <v>34</v>
      </c>
      <c r="D79" t="s">
        <v>24</v>
      </c>
      <c r="E79">
        <v>4</v>
      </c>
      <c r="F79">
        <v>11884</v>
      </c>
      <c r="G79" t="s">
        <v>20</v>
      </c>
    </row>
    <row r="80" spans="1:7">
      <c r="A80" t="s">
        <v>43</v>
      </c>
      <c r="B80" t="str">
        <f t="shared" si="2"/>
        <v>Feb-2024</v>
      </c>
      <c r="C80" t="s">
        <v>52</v>
      </c>
      <c r="D80" t="s">
        <v>9</v>
      </c>
      <c r="E80">
        <v>9</v>
      </c>
      <c r="F80">
        <v>26550</v>
      </c>
      <c r="G80" t="s">
        <v>10</v>
      </c>
    </row>
    <row r="81" spans="1:7">
      <c r="A81" t="s">
        <v>96</v>
      </c>
      <c r="B81" t="str">
        <f t="shared" si="2"/>
        <v>Apr-2024</v>
      </c>
      <c r="C81" t="s">
        <v>14</v>
      </c>
      <c r="D81" t="s">
        <v>15</v>
      </c>
      <c r="E81">
        <v>2</v>
      </c>
      <c r="F81">
        <v>3878</v>
      </c>
      <c r="G81" t="s">
        <v>12</v>
      </c>
    </row>
    <row r="82" spans="1:7">
      <c r="A82" t="s">
        <v>84</v>
      </c>
      <c r="B82" t="str">
        <f t="shared" si="2"/>
        <v>Apr-2024</v>
      </c>
      <c r="C82" t="s">
        <v>14</v>
      </c>
      <c r="D82" t="s">
        <v>15</v>
      </c>
      <c r="E82">
        <v>10</v>
      </c>
      <c r="F82">
        <v>42860</v>
      </c>
      <c r="G82" t="s">
        <v>10</v>
      </c>
    </row>
    <row r="83" spans="1:7">
      <c r="A83" t="s">
        <v>97</v>
      </c>
      <c r="B83" t="str">
        <f t="shared" si="2"/>
        <v>May-2024</v>
      </c>
      <c r="C83" t="s">
        <v>34</v>
      </c>
      <c r="D83" t="s">
        <v>24</v>
      </c>
      <c r="E83">
        <v>9</v>
      </c>
      <c r="F83">
        <v>42561</v>
      </c>
      <c r="G83" t="s">
        <v>16</v>
      </c>
    </row>
    <row r="84" spans="1:7">
      <c r="A84" t="s">
        <v>98</v>
      </c>
      <c r="B84" t="str">
        <f t="shared" si="2"/>
        <v>May-2024</v>
      </c>
      <c r="C84" t="s">
        <v>23</v>
      </c>
      <c r="D84" t="s">
        <v>24</v>
      </c>
      <c r="E84">
        <v>6</v>
      </c>
      <c r="F84">
        <v>6348</v>
      </c>
      <c r="G84" t="s">
        <v>20</v>
      </c>
    </row>
    <row r="85" spans="1:7">
      <c r="A85" t="s">
        <v>46</v>
      </c>
      <c r="B85" t="str">
        <f t="shared" si="2"/>
        <v>Jan-2024</v>
      </c>
      <c r="C85" t="s">
        <v>18</v>
      </c>
      <c r="D85" t="s">
        <v>19</v>
      </c>
      <c r="E85">
        <v>9</v>
      </c>
      <c r="F85">
        <v>21618</v>
      </c>
      <c r="G85" t="s">
        <v>10</v>
      </c>
    </row>
    <row r="86" spans="1:7">
      <c r="A86" t="s">
        <v>73</v>
      </c>
      <c r="B86" t="str">
        <f t="shared" si="2"/>
        <v>Jan-2024</v>
      </c>
      <c r="C86" t="s">
        <v>49</v>
      </c>
      <c r="D86" t="s">
        <v>37</v>
      </c>
      <c r="E86">
        <v>7</v>
      </c>
      <c r="F86">
        <v>10857</v>
      </c>
      <c r="G86" t="s">
        <v>20</v>
      </c>
    </row>
    <row r="87" spans="1:7">
      <c r="A87" t="s">
        <v>99</v>
      </c>
      <c r="B87" t="str">
        <f t="shared" si="2"/>
        <v>Apr-2024</v>
      </c>
      <c r="C87" t="s">
        <v>49</v>
      </c>
      <c r="D87" t="s">
        <v>37</v>
      </c>
      <c r="E87">
        <v>1</v>
      </c>
      <c r="F87">
        <v>2491</v>
      </c>
      <c r="G87" t="s">
        <v>20</v>
      </c>
    </row>
    <row r="88" spans="1:7">
      <c r="A88" t="s">
        <v>100</v>
      </c>
      <c r="B88" t="str">
        <f t="shared" si="2"/>
        <v>Apr-2024</v>
      </c>
      <c r="C88" t="s">
        <v>23</v>
      </c>
      <c r="D88" t="s">
        <v>24</v>
      </c>
      <c r="E88">
        <v>7</v>
      </c>
      <c r="F88">
        <v>33901</v>
      </c>
      <c r="G88" t="s">
        <v>10</v>
      </c>
    </row>
    <row r="89" spans="1:7">
      <c r="A89" t="s">
        <v>101</v>
      </c>
      <c r="B89" t="str">
        <f t="shared" si="2"/>
        <v>Mar-2024</v>
      </c>
      <c r="C89" t="s">
        <v>36</v>
      </c>
      <c r="D89" t="s">
        <v>37</v>
      </c>
      <c r="E89">
        <v>1</v>
      </c>
      <c r="F89">
        <v>4174</v>
      </c>
      <c r="G89" t="s">
        <v>16</v>
      </c>
    </row>
    <row r="90" spans="1:7">
      <c r="A90" t="s">
        <v>102</v>
      </c>
      <c r="B90" t="str">
        <f t="shared" si="2"/>
        <v>Jan-2024</v>
      </c>
      <c r="C90" t="s">
        <v>18</v>
      </c>
      <c r="D90" t="s">
        <v>19</v>
      </c>
      <c r="E90">
        <v>10</v>
      </c>
      <c r="F90">
        <v>27970</v>
      </c>
      <c r="G90" t="s">
        <v>16</v>
      </c>
    </row>
    <row r="91" spans="1:7">
      <c r="A91" t="s">
        <v>103</v>
      </c>
      <c r="B91" t="str">
        <f t="shared" si="2"/>
        <v>Mar-2024</v>
      </c>
      <c r="C91" t="s">
        <v>23</v>
      </c>
      <c r="D91" t="s">
        <v>24</v>
      </c>
      <c r="E91">
        <v>8</v>
      </c>
      <c r="F91">
        <v>35760</v>
      </c>
      <c r="G91" t="s">
        <v>12</v>
      </c>
    </row>
    <row r="92" spans="1:7">
      <c r="A92" t="s">
        <v>104</v>
      </c>
      <c r="B92" t="str">
        <f t="shared" si="2"/>
        <v>May-2024</v>
      </c>
      <c r="C92" t="s">
        <v>36</v>
      </c>
      <c r="D92" t="s">
        <v>37</v>
      </c>
      <c r="E92">
        <v>4</v>
      </c>
      <c r="F92">
        <v>4596</v>
      </c>
      <c r="G92" t="s">
        <v>16</v>
      </c>
    </row>
    <row r="93" spans="1:7">
      <c r="A93" t="s">
        <v>56</v>
      </c>
      <c r="B93" t="str">
        <f t="shared" si="2"/>
        <v>Mar-2024</v>
      </c>
      <c r="C93" t="s">
        <v>32</v>
      </c>
      <c r="D93" t="s">
        <v>24</v>
      </c>
      <c r="E93">
        <v>6</v>
      </c>
      <c r="F93">
        <v>25680</v>
      </c>
      <c r="G93" t="s">
        <v>12</v>
      </c>
    </row>
    <row r="94" spans="1:7">
      <c r="A94" t="s">
        <v>105</v>
      </c>
      <c r="B94" t="str">
        <f t="shared" si="2"/>
        <v>Feb-2024</v>
      </c>
      <c r="C94" t="s">
        <v>49</v>
      </c>
      <c r="D94" t="s">
        <v>37</v>
      </c>
      <c r="E94">
        <v>2</v>
      </c>
      <c r="F94">
        <v>1982</v>
      </c>
      <c r="G94" t="s">
        <v>12</v>
      </c>
    </row>
    <row r="95" spans="1:7">
      <c r="A95" t="s">
        <v>106</v>
      </c>
      <c r="B95" t="str">
        <f t="shared" si="2"/>
        <v>Apr-2024</v>
      </c>
      <c r="C95" t="s">
        <v>36</v>
      </c>
      <c r="D95" t="s">
        <v>37</v>
      </c>
      <c r="E95">
        <v>3</v>
      </c>
      <c r="F95">
        <v>14259</v>
      </c>
      <c r="G95" t="s">
        <v>16</v>
      </c>
    </row>
    <row r="96" spans="1:7">
      <c r="A96" t="s">
        <v>26</v>
      </c>
      <c r="B96" t="str">
        <f t="shared" si="2"/>
        <v>Feb-2024</v>
      </c>
      <c r="C96" t="s">
        <v>36</v>
      </c>
      <c r="D96" t="s">
        <v>37</v>
      </c>
      <c r="E96">
        <v>1</v>
      </c>
      <c r="F96">
        <v>3247</v>
      </c>
      <c r="G96" t="s">
        <v>10</v>
      </c>
    </row>
    <row r="97" spans="1:7">
      <c r="A97" t="s">
        <v>107</v>
      </c>
      <c r="B97" t="str">
        <f t="shared" si="2"/>
        <v>Apr-2024</v>
      </c>
      <c r="C97" t="s">
        <v>27</v>
      </c>
      <c r="D97" t="s">
        <v>9</v>
      </c>
      <c r="E97">
        <v>6</v>
      </c>
      <c r="F97">
        <v>4650</v>
      </c>
      <c r="G97" t="s">
        <v>16</v>
      </c>
    </row>
    <row r="98" spans="1:7">
      <c r="A98" t="s">
        <v>71</v>
      </c>
      <c r="B98" t="str">
        <f t="shared" ref="B98:B129" si="3">TEXT(A98,"mmm-yyyy")</f>
        <v>Jun-2024</v>
      </c>
      <c r="C98" t="s">
        <v>34</v>
      </c>
      <c r="D98" t="s">
        <v>24</v>
      </c>
      <c r="E98">
        <v>5</v>
      </c>
      <c r="F98">
        <v>10870</v>
      </c>
      <c r="G98" t="s">
        <v>12</v>
      </c>
    </row>
    <row r="99" spans="1:7">
      <c r="A99" t="s">
        <v>13</v>
      </c>
      <c r="B99" t="str">
        <f t="shared" si="3"/>
        <v>Jun-2024</v>
      </c>
      <c r="C99" t="s">
        <v>8</v>
      </c>
      <c r="D99" t="s">
        <v>9</v>
      </c>
      <c r="E99">
        <v>7</v>
      </c>
      <c r="F99">
        <v>21483</v>
      </c>
      <c r="G99" t="s">
        <v>20</v>
      </c>
    </row>
    <row r="100" spans="1:7">
      <c r="A100" t="s">
        <v>63</v>
      </c>
      <c r="B100" t="str">
        <f t="shared" si="3"/>
        <v>Jan-2024</v>
      </c>
      <c r="C100" t="s">
        <v>36</v>
      </c>
      <c r="D100" t="s">
        <v>37</v>
      </c>
      <c r="E100">
        <v>9</v>
      </c>
      <c r="F100">
        <v>44622</v>
      </c>
      <c r="G100" t="s">
        <v>16</v>
      </c>
    </row>
    <row r="101" spans="1:7">
      <c r="A101" t="s">
        <v>108</v>
      </c>
      <c r="B101" t="str">
        <f t="shared" si="3"/>
        <v>Mar-2024</v>
      </c>
      <c r="C101" t="s">
        <v>18</v>
      </c>
      <c r="D101" t="s">
        <v>19</v>
      </c>
      <c r="E101">
        <v>8</v>
      </c>
      <c r="F101">
        <v>28184</v>
      </c>
      <c r="G101" t="s">
        <v>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86A9-86CE-485E-85A6-F0841834277C}">
  <dimension ref="E2:H40"/>
  <sheetViews>
    <sheetView tabSelected="1" topLeftCell="G11" workbookViewId="0">
      <selection activeCell="H16" sqref="H16"/>
    </sheetView>
  </sheetViews>
  <sheetFormatPr defaultRowHeight="15"/>
  <cols>
    <col min="1" max="1" width="12" bestFit="1" customWidth="1"/>
    <col min="2" max="2" width="12.140625" bestFit="1" customWidth="1"/>
    <col min="3" max="3" width="15.42578125" bestFit="1" customWidth="1"/>
    <col min="5" max="5" width="13" bestFit="1" customWidth="1"/>
    <col min="6" max="6" width="12.140625" bestFit="1" customWidth="1"/>
    <col min="8" max="8" width="15.42578125" bestFit="1" customWidth="1"/>
  </cols>
  <sheetData>
    <row r="2" spans="5:8">
      <c r="E2" s="2" t="s">
        <v>3</v>
      </c>
      <c r="F2" t="s">
        <v>109</v>
      </c>
      <c r="H2" t="s">
        <v>110</v>
      </c>
    </row>
    <row r="3" spans="5:8">
      <c r="E3" t="s">
        <v>37</v>
      </c>
      <c r="F3" s="1">
        <v>299566</v>
      </c>
      <c r="H3" s="1">
        <v>1429384</v>
      </c>
    </row>
    <row r="4" spans="5:8">
      <c r="E4" t="s">
        <v>24</v>
      </c>
      <c r="F4" s="1">
        <v>475017</v>
      </c>
    </row>
    <row r="5" spans="5:8">
      <c r="E5" t="s">
        <v>15</v>
      </c>
      <c r="F5" s="1">
        <v>242217</v>
      </c>
    </row>
    <row r="6" spans="5:8">
      <c r="E6" t="s">
        <v>19</v>
      </c>
      <c r="F6" s="1">
        <v>190621</v>
      </c>
    </row>
    <row r="7" spans="5:8">
      <c r="E7" t="s">
        <v>9</v>
      </c>
      <c r="F7" s="1">
        <v>221963</v>
      </c>
    </row>
    <row r="8" spans="5:8">
      <c r="E8" t="s">
        <v>111</v>
      </c>
      <c r="F8" s="1">
        <v>1429384</v>
      </c>
    </row>
    <row r="15" spans="5:8">
      <c r="E15" s="2" t="s">
        <v>6</v>
      </c>
      <c r="F15" t="s">
        <v>109</v>
      </c>
      <c r="H15" t="s">
        <v>112</v>
      </c>
    </row>
    <row r="16" spans="5:8">
      <c r="E16" t="s">
        <v>20</v>
      </c>
      <c r="F16" s="1">
        <v>264191</v>
      </c>
      <c r="H16" s="1">
        <v>487</v>
      </c>
    </row>
    <row r="17" spans="5:6">
      <c r="E17" t="s">
        <v>10</v>
      </c>
      <c r="F17" s="1">
        <v>486648</v>
      </c>
    </row>
    <row r="18" spans="5:6">
      <c r="E18" t="s">
        <v>12</v>
      </c>
      <c r="F18" s="1">
        <v>249878</v>
      </c>
    </row>
    <row r="19" spans="5:6">
      <c r="E19" t="s">
        <v>16</v>
      </c>
      <c r="F19" s="1">
        <v>428667</v>
      </c>
    </row>
    <row r="20" spans="5:6">
      <c r="E20" t="s">
        <v>111</v>
      </c>
      <c r="F20" s="1">
        <v>1429384</v>
      </c>
    </row>
    <row r="24" spans="5:6">
      <c r="E24" s="2" t="s">
        <v>1</v>
      </c>
      <c r="F24" t="s">
        <v>109</v>
      </c>
    </row>
    <row r="25" spans="5:6">
      <c r="E25" t="s">
        <v>113</v>
      </c>
      <c r="F25" s="1">
        <v>353425</v>
      </c>
    </row>
    <row r="26" spans="5:6">
      <c r="E26" t="s">
        <v>114</v>
      </c>
      <c r="F26" s="1">
        <v>202407</v>
      </c>
    </row>
    <row r="27" spans="5:6">
      <c r="E27" t="s">
        <v>115</v>
      </c>
      <c r="F27" s="1">
        <v>298101</v>
      </c>
    </row>
    <row r="28" spans="5:6">
      <c r="E28" t="s">
        <v>116</v>
      </c>
      <c r="F28" s="1">
        <v>246166</v>
      </c>
    </row>
    <row r="29" spans="5:6">
      <c r="E29" t="s">
        <v>117</v>
      </c>
      <c r="F29" s="1">
        <v>171986</v>
      </c>
    </row>
    <row r="30" spans="5:6">
      <c r="E30" t="s">
        <v>118</v>
      </c>
      <c r="F30" s="1">
        <v>157299</v>
      </c>
    </row>
    <row r="31" spans="5:6">
      <c r="E31" t="s">
        <v>111</v>
      </c>
      <c r="F31" s="1">
        <v>1429384</v>
      </c>
    </row>
    <row r="34" spans="5:6">
      <c r="E34" s="2" t="s">
        <v>2</v>
      </c>
      <c r="F34" t="s">
        <v>109</v>
      </c>
    </row>
    <row r="35" spans="5:6">
      <c r="E35" t="s">
        <v>18</v>
      </c>
      <c r="F35" s="1">
        <v>190621</v>
      </c>
    </row>
    <row r="36" spans="5:6">
      <c r="E36" t="s">
        <v>36</v>
      </c>
      <c r="F36" s="1">
        <v>189639</v>
      </c>
    </row>
    <row r="37" spans="5:6">
      <c r="E37" t="s">
        <v>34</v>
      </c>
      <c r="F37" s="1">
        <v>228524</v>
      </c>
    </row>
    <row r="38" spans="5:6">
      <c r="E38" t="s">
        <v>23</v>
      </c>
      <c r="F38" s="1">
        <v>165227</v>
      </c>
    </row>
    <row r="39" spans="5:6">
      <c r="E39" t="s">
        <v>14</v>
      </c>
      <c r="F39" s="1">
        <v>242217</v>
      </c>
    </row>
    <row r="40" spans="5:6">
      <c r="E40" t="s">
        <v>111</v>
      </c>
      <c r="F40" s="1">
        <v>1016228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6D88-E249-427C-AE33-83DEDB106E1E}">
  <dimension ref="F45:M47"/>
  <sheetViews>
    <sheetView topLeftCell="H40" workbookViewId="0">
      <selection activeCell="M47" sqref="M47"/>
    </sheetView>
  </sheetViews>
  <sheetFormatPr defaultRowHeight="15"/>
  <cols>
    <col min="6" max="6" width="34.7109375" bestFit="1" customWidth="1"/>
    <col min="13" max="13" width="42" bestFit="1" customWidth="1"/>
  </cols>
  <sheetData>
    <row r="45" spans="6:13" ht="46.5">
      <c r="F45" s="5" t="s">
        <v>110</v>
      </c>
      <c r="M45" s="6" t="s">
        <v>112</v>
      </c>
    </row>
    <row r="47" spans="6:13" ht="35.25">
      <c r="F47" s="4">
        <f>SUM(Table1[Sales])</f>
        <v>1429384</v>
      </c>
      <c r="M47" s="3">
        <f>SUM(Table1[Quantity])</f>
        <v>487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2026-01-16T15:52:00Z</dcterms:created>
  <dcterms:modified xsi:type="dcterms:W3CDTF">2026-01-17T10:36:12Z</dcterms:modified>
  <cp:category/>
  <cp:contentStatus/>
</cp:coreProperties>
</file>